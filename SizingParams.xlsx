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PUTS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<sst xmlns="http://schemas.openxmlformats.org/spreadsheetml/2006/main" uniqueCount="150">
  <si>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</si>
  <si>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</si>
  <si>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</si>
  <si>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</si>
  <si>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</si>
  <si>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</si>
  <si>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</si>
  <si>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</si>
  <si>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</si>
  <si>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</si>
  <si>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</si>
  <si>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</si>
  <si>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</si>
  <si>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</si>
  <si>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</si>
  <si>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</si>
  <si>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</si>
  <si>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</si>
  <si>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</si>
  <si>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</si>
  <si>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</si>
  <si>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</si>
  <si>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</si>
  <si>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</si>
  <si>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</si>
  <si>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</si>
  <si>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</si>
  <si>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</si>
  <si>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</si>
  <si>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</si>
  <si>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</si>
  <si>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</si>
  <si>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</si>
  <si>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</si>
  <si>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</si>
  <si>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</si>
  <si>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</si>
  <si>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</si>
  <si>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</si>
  <si>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</si>
  <si>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</si>
  <si>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</si>
  <si>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</si>
  <si>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</si>
  <si>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</si>
  <si>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</si>
  <si>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</si>
  <si>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</si>
  <si>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</si>
  <si>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</si>
  <si>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</si>
  <si>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</si>
  <si>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</si>
  <si>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</si>
  <si>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</si>
  <si>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</si>
  <si>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</si>
  <si>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</si>
  <si>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</si>
  <si>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</si>
  <si>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</si>
  <si>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</si>
  <si>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</si>
  <si>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</si>
  <si>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</si>
  <si>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</si>
  <si>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</si>
  <si>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</si>
  <si>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</si>
  <si>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</si>
  <si>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</si>
  <si>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</si>
  <si>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</si>
  <si>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</si>
  <si>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</si>
  <si>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</si>
  <si>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</si>
  <si>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</si>
  <si>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</si>
  <si>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</si>
  <si>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</si>
  <si>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</si>
  <si>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</si>
  <si>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</si>
  <si>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</si>
  <si>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</si>
  <si>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</si>
  <si>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</si>
  <si>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</si>
  <si>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</si>
  <si>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</si>
  <si>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</si>
  <si>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</si>
  <si>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</si>
  <si>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</si>
  <si>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</si>
  <si>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</si>
  <si>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</si>
  <si>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</si>
  <si>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</si>
  <si>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</si>
  <si>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</si>
  <si>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</si>
  <si>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</si>
  <si>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</si>
  <si>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</si>
  <si>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</si>
  <si>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</si>
  <si>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</si>
  <si>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</si>
  <si>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</si>
  <si>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</si>
  <si>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</si>
  <si>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</si>
  <si>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</si>
  <si>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</si>
  <si>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</si>
  <si>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</si>
  <si>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</si>
  <si>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</si>
  <si>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</si>
  <si>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</si>
  <si>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</si>
  <si>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</si>
  <si>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</si>
  <si>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</si>
  <si>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</si>
  <si>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</si>
  <si>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CM_0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</si>
  <si>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</si>
  <si>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</si>
  <si>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</si>
  <si>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</si>
  <si>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</si>
  <si>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</si>
  <si>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</si>
  <si>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</si>
  <si>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</si>
  <si>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</si>
  <si>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</si>
  <si>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</si>
  <si>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</si>
  <si>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</si>
  <si>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</si>
  <si>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c_t</t>
  </si>
  <si>
    <t>Chord of the tail</t>
  </si>
  <si>
    <t>Made up, need real val</t>
  </si>
  <si>
    <t>AR_tail</t>
  </si>
  <si>
    <t>Aspect Ratio of the tail</t>
  </si>
  <si>
    <t>Smaller than wing to delay stall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</si>
</sst>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0.000E+00"/>
    <numFmt numFmtId="60" formatCode="0.000"/>
    <numFmt numFmtId="61" formatCode="0.0"/>
    <numFmt numFmtId="62" formatCode="0.0000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1"/>
      <color indexed="12"/>
      <name val="Calibri"/>
    </font>
    <font>
      <b val="1"/>
      <sz val="11"/>
      <color indexed="14"/>
      <name val="Calibri"/>
    </font>
    <font>
      <sz val="10"/>
      <color indexed="8"/>
      <name val="Courier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/>
    </xf>
    <xf numFmtId="0" fontId="3" fillId="3" borderId="4" applyNumberFormat="1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bottom"/>
    </xf>
    <xf numFmtId="59" fontId="3" fillId="3" borderId="4" applyNumberFormat="1" applyFont="1" applyFill="1" applyBorder="1" applyAlignment="1" applyProtection="0">
      <alignment vertical="bottom"/>
    </xf>
    <xf numFmtId="2" fontId="3" fillId="3" borderId="4" applyNumberFormat="1" applyFont="1" applyFill="1" applyBorder="1" applyAlignment="1" applyProtection="0">
      <alignment vertical="bottom"/>
    </xf>
    <xf numFmtId="60" fontId="4" fillId="4" borderId="4" applyNumberFormat="1" applyFont="1" applyFill="1" applyBorder="1" applyAlignment="1" applyProtection="0">
      <alignment vertical="bottom"/>
    </xf>
    <xf numFmtId="0" fontId="4" fillId="4" borderId="4" applyNumberFormat="1" applyFont="1" applyFill="1" applyBorder="1" applyAlignment="1" applyProtection="0">
      <alignment vertical="bottom"/>
    </xf>
    <xf numFmtId="2" fontId="4" fillId="4" borderId="4" applyNumberFormat="1" applyFont="1" applyFill="1" applyBorder="1" applyAlignment="1" applyProtection="0">
      <alignment vertical="bottom"/>
    </xf>
    <xf numFmtId="60" fontId="3" fillId="3" borderId="4" applyNumberFormat="1" applyFont="1" applyFill="1" applyBorder="1" applyAlignment="1" applyProtection="0">
      <alignment vertical="bottom"/>
    </xf>
    <xf numFmtId="61" fontId="3" fillId="3" borderId="4" applyNumberFormat="1" applyFont="1" applyFill="1" applyBorder="1" applyAlignment="1" applyProtection="0">
      <alignment vertical="bottom"/>
    </xf>
    <xf numFmtId="0" fontId="4" fillId="4" borderId="6" applyNumberFormat="1" applyFont="1" applyFill="1" applyBorder="1" applyAlignment="1" applyProtection="0">
      <alignment vertical="bottom"/>
    </xf>
    <xf numFmtId="2" fontId="4" fillId="4" borderId="6" applyNumberFormat="1" applyFont="1" applyFill="1" applyBorder="1" applyAlignment="1" applyProtection="0">
      <alignment vertical="bottom"/>
    </xf>
    <xf numFmtId="62" fontId="4" fillId="4" borderId="7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49" fontId="5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9</xdr:col>
      <xdr:colOff>0</xdr:colOff>
      <xdr:row>22</xdr:row>
      <xdr:rowOff>0</xdr:rowOff>
    </xdr:from>
    <xdr:to>
      <xdr:col>15</xdr:col>
      <xdr:colOff>39107</xdr:colOff>
      <xdr:row>37</xdr:row>
      <xdr:rowOff>62873</xdr:rowOff>
    </xdr:to>
    <xdr:pic>
      <xdr:nvPicPr>
        <xdr:cNvPr id="2" name="Picture 1" descr="Picture 1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8928100" y="4037330"/>
          <a:ext cx="4077708" cy="28155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40</xdr:row>
      <xdr:rowOff>131990</xdr:rowOff>
    </xdr:from>
    <xdr:to>
      <xdr:col>13</xdr:col>
      <xdr:colOff>314597</xdr:colOff>
      <xdr:row>54</xdr:row>
      <xdr:rowOff>99034</xdr:rowOff>
    </xdr:to>
    <xdr:pic>
      <xdr:nvPicPr>
        <xdr:cNvPr id="3" name="Picture 2" descr="Picture 2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7449005" y="7472590"/>
          <a:ext cx="4486093" cy="253625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171463</xdr:rowOff>
    </xdr:from>
    <xdr:to>
      <xdr:col>4</xdr:col>
      <xdr:colOff>434552</xdr:colOff>
      <xdr:row>77</xdr:row>
      <xdr:rowOff>133362</xdr:rowOff>
    </xdr:to>
    <xdr:pic>
      <xdr:nvPicPr>
        <xdr:cNvPr id="4" name="Picture 3" descr="Picture 3"/>
        <xdr:cNvPicPr>
          <a:picLocks noChangeAspect="1"/>
        </xdr:cNvPicPr>
      </xdr:nvPicPr>
      <xdr:blipFill>
        <a:blip r:embed="rId3">
          <a:extLst/>
        </a:blip>
        <a:stretch>
          <a:fillRect/>
        </a:stretch>
      </xdr:blipFill>
      <xdr:spPr>
        <a:xfrm>
          <a:off x="619125" y="11182363"/>
          <a:ext cx="4082628" cy="308165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108875</xdr:rowOff>
    </xdr:from>
    <xdr:to>
      <xdr:col>14</xdr:col>
      <xdr:colOff>153761</xdr:colOff>
      <xdr:row>87</xdr:row>
      <xdr:rowOff>772</xdr:rowOff>
    </xdr:to>
    <xdr:pic>
      <xdr:nvPicPr>
        <xdr:cNvPr id="5" name="Picture 4" descr="Picture 4"/>
        <xdr:cNvPicPr>
          <a:picLocks noChangeAspect="1"/>
        </xdr:cNvPicPr>
      </xdr:nvPicPr>
      <xdr:blipFill>
        <a:blip r:embed="rId4">
          <a:extLst/>
        </a:blip>
        <a:stretch>
          <a:fillRect/>
        </a:stretch>
      </xdr:blipFill>
      <xdr:spPr>
        <a:xfrm>
          <a:off x="7206794" y="12404380"/>
          <a:ext cx="5240568" cy="35621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81655</xdr:rowOff>
    </xdr:from>
    <xdr:to>
      <xdr:col>13</xdr:col>
      <xdr:colOff>475977</xdr:colOff>
      <xdr:row>65</xdr:row>
      <xdr:rowOff>60018</xdr:rowOff>
    </xdr:to>
    <xdr:pic>
      <xdr:nvPicPr>
        <xdr:cNvPr id="6" name="Picture 5" descr="Picture 5"/>
        <xdr:cNvPicPr>
          <a:picLocks noChangeAspect="1"/>
        </xdr:cNvPicPr>
      </xdr:nvPicPr>
      <xdr:blipFill>
        <a:blip r:embed="rId5">
          <a:extLst/>
        </a:blip>
        <a:stretch>
          <a:fillRect/>
        </a:stretch>
      </xdr:blipFill>
      <xdr:spPr>
        <a:xfrm>
          <a:off x="7163251" y="10909040"/>
          <a:ext cx="4933227" cy="1079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182227</xdr:rowOff>
    </xdr:from>
    <xdr:to>
      <xdr:col>4</xdr:col>
      <xdr:colOff>780870</xdr:colOff>
      <xdr:row>87</xdr:row>
      <xdr:rowOff>21040</xdr:rowOff>
    </xdr:to>
    <xdr:pic>
      <xdr:nvPicPr>
        <xdr:cNvPr id="7" name="Picture 6" descr="Picture 6"/>
        <xdr:cNvPicPr>
          <a:picLocks noChangeAspect="1"/>
        </xdr:cNvPicPr>
      </xdr:nvPicPr>
      <xdr:blipFill>
        <a:blip r:embed="rId6">
          <a:extLst/>
        </a:blip>
        <a:stretch>
          <a:fillRect/>
        </a:stretch>
      </xdr:blipFill>
      <xdr:spPr>
        <a:xfrm>
          <a:off x="381000" y="14496397"/>
          <a:ext cx="4667071" cy="149044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95253</xdr:rowOff>
    </xdr:from>
    <xdr:to>
      <xdr:col>4</xdr:col>
      <xdr:colOff>1619250</xdr:colOff>
      <xdr:row>93</xdr:row>
      <xdr:rowOff>16190</xdr:rowOff>
    </xdr:to>
    <xdr:pic>
      <xdr:nvPicPr>
        <xdr:cNvPr id="8" name="Picture 7" descr="Picture 7"/>
        <xdr:cNvPicPr>
          <a:picLocks noChangeAspect="1"/>
        </xdr:cNvPicPr>
      </xdr:nvPicPr>
      <xdr:blipFill>
        <a:blip r:embed="rId7">
          <a:extLst/>
        </a:blip>
        <a:stretch>
          <a:fillRect/>
        </a:stretch>
      </xdr:blipFill>
      <xdr:spPr>
        <a:xfrm>
          <a:off x="381000" y="16611603"/>
          <a:ext cx="5505450" cy="47148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142875</xdr:rowOff>
    </xdr:from>
    <xdr:to>
      <xdr:col>13</xdr:col>
      <xdr:colOff>244370</xdr:colOff>
      <xdr:row>110</xdr:row>
      <xdr:rowOff>53869</xdr:rowOff>
    </xdr:to>
    <xdr:pic>
      <xdr:nvPicPr>
        <xdr:cNvPr id="9" name="Picture 8" descr="Picture 8"/>
        <xdr:cNvPicPr>
          <a:picLocks noChangeAspect="1"/>
        </xdr:cNvPicPr>
      </xdr:nvPicPr>
      <xdr:blipFill>
        <a:blip r:embed="rId8">
          <a:extLst/>
        </a:blip>
        <a:stretch>
          <a:fillRect/>
        </a:stretch>
      </xdr:blipFill>
      <xdr:spPr>
        <a:xfrm>
          <a:off x="7686675" y="16475710"/>
          <a:ext cx="4178196" cy="376481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95</xdr:row>
      <xdr:rowOff>183511</xdr:rowOff>
    </xdr:from>
    <xdr:to>
      <xdr:col>5</xdr:col>
      <xdr:colOff>57808</xdr:colOff>
      <xdr:row>111</xdr:row>
      <xdr:rowOff>152800</xdr:rowOff>
    </xdr:to>
    <xdr:pic>
      <xdr:nvPicPr>
        <xdr:cNvPr id="10" name="Picture 9" descr="Picture 9"/>
        <xdr:cNvPicPr>
          <a:picLocks noChangeAspect="1"/>
        </xdr:cNvPicPr>
      </xdr:nvPicPr>
      <xdr:blipFill>
        <a:blip r:embed="rId9">
          <a:extLst/>
        </a:blip>
        <a:stretch>
          <a:fillRect/>
        </a:stretch>
      </xdr:blipFill>
      <xdr:spPr>
        <a:xfrm>
          <a:off x="901700" y="17617436"/>
          <a:ext cx="5391809" cy="290553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161904</xdr:rowOff>
    </xdr:from>
    <xdr:to>
      <xdr:col>4</xdr:col>
      <xdr:colOff>1657350</xdr:colOff>
      <xdr:row>128</xdr:row>
      <xdr:rowOff>169668</xdr:rowOff>
    </xdr:to>
    <xdr:pic>
      <xdr:nvPicPr>
        <xdr:cNvPr id="11" name="Picture 10" descr="Picture 10"/>
        <xdr:cNvPicPr>
          <a:picLocks noChangeAspect="1"/>
        </xdr:cNvPicPr>
      </xdr:nvPicPr>
      <xdr:blipFill>
        <a:blip r:embed="rId10">
          <a:extLst/>
        </a:blip>
        <a:stretch>
          <a:fillRect/>
        </a:stretch>
      </xdr:blipFill>
      <xdr:spPr>
        <a:xfrm>
          <a:off x="949325" y="20899099"/>
          <a:ext cx="4975225" cy="276049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57124</xdr:rowOff>
    </xdr:from>
    <xdr:to>
      <xdr:col>16</xdr:col>
      <xdr:colOff>15239</xdr:colOff>
      <xdr:row>122</xdr:row>
      <xdr:rowOff>135706</xdr:rowOff>
    </xdr:to>
    <xdr:pic>
      <xdr:nvPicPr>
        <xdr:cNvPr id="12" name="Picture 11" descr="Picture 11"/>
        <xdr:cNvPicPr>
          <a:picLocks noChangeAspect="1"/>
        </xdr:cNvPicPr>
      </xdr:nvPicPr>
      <xdr:blipFill>
        <a:blip r:embed="rId11">
          <a:extLst/>
        </a:blip>
        <a:stretch>
          <a:fillRect/>
        </a:stretch>
      </xdr:blipFill>
      <xdr:spPr>
        <a:xfrm>
          <a:off x="6521450" y="21344864"/>
          <a:ext cx="7133590" cy="117967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Q129"/>
  <sheetViews>
    <sheetView workbookViewId="0" showGridLines="0" defaultGridColor="1"/>
  </sheetViews>
  <sheetFormatPr defaultColWidth="8.83333" defaultRowHeight="14.45" customHeight="1" outlineLevelRow="0" outlineLevelCol="0"/>
  <cols>
    <col min="1" max="1" width="11.8516" style="1" customWidth="1"/>
    <col min="2" max="2" width="9.5" style="1" customWidth="1"/>
    <col min="3" max="3" width="8.85156" style="1" customWidth="1"/>
    <col min="4" max="5" width="25.8516" style="1" customWidth="1"/>
    <col min="6" max="17" width="8.85156" style="1" customWidth="1"/>
    <col min="18" max="16384" width="8.85156" style="1" customWidth="1"/>
  </cols>
  <sheetData>
    <row r="1" ht="14.45" customHeight="1">
      <c r="A1" t="s" s="2">
        <v>0</v>
      </c>
      <c r="B1" t="s" s="3">
        <v>1</v>
      </c>
      <c r="C1" t="s" s="2">
        <v>2</v>
      </c>
      <c r="D1" t="s" s="2">
        <v>3</v>
      </c>
      <c r="E1" t="s" s="2">
        <v>4</v>
      </c>
      <c r="F1" t="s" s="2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4.45" customHeight="1">
      <c r="A2" t="s" s="5">
        <v>6</v>
      </c>
      <c r="B2" s="6">
        <v>1.225</v>
      </c>
      <c r="C2" t="s" s="7">
        <v>7</v>
      </c>
      <c r="D2" t="s" s="2">
        <v>8</v>
      </c>
      <c r="E2" t="s" s="2">
        <v>9</v>
      </c>
      <c r="F2" t="s" s="2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14.45" customHeight="1">
      <c r="A3" t="s" s="5">
        <v>11</v>
      </c>
      <c r="B3" s="8">
        <v>1.796e-05</v>
      </c>
      <c r="C3" t="s" s="7">
        <v>12</v>
      </c>
      <c r="D3" t="s" s="2">
        <v>13</v>
      </c>
      <c r="E3" t="s" s="2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4.45" customHeight="1">
      <c r="A4" t="s" s="5">
        <v>15</v>
      </c>
      <c r="B4" s="6">
        <v>9.81</v>
      </c>
      <c r="C4" t="s" s="7">
        <v>16</v>
      </c>
      <c r="D4" t="s" s="2">
        <v>17</v>
      </c>
      <c r="E4" t="s" s="2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14.45" customHeight="1">
      <c r="A5" t="s" s="5">
        <v>18</v>
      </c>
      <c r="B5" s="6">
        <v>0.05</v>
      </c>
      <c r="C5" t="s" s="7">
        <v>19</v>
      </c>
      <c r="D5" t="s" s="2">
        <v>20</v>
      </c>
      <c r="E5" t="s" s="2">
        <v>21</v>
      </c>
      <c r="F5" t="s" s="2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ht="14.45" customHeight="1">
      <c r="A6" t="s" s="5">
        <v>23</v>
      </c>
      <c r="B6" s="6">
        <v>0.08</v>
      </c>
      <c r="C6" t="s" s="7">
        <v>19</v>
      </c>
      <c r="D6" t="s" s="2">
        <v>24</v>
      </c>
      <c r="E6" t="s" s="2">
        <v>21</v>
      </c>
      <c r="F6" t="s" s="2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ht="14.45" customHeight="1">
      <c r="A7" t="s" s="5">
        <v>26</v>
      </c>
      <c r="B7" s="9">
        <v>0.7</v>
      </c>
      <c r="C7" t="s" s="7">
        <v>19</v>
      </c>
      <c r="D7" t="s" s="2">
        <v>27</v>
      </c>
      <c r="E7" t="s" s="2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ht="14.45" customHeight="1">
      <c r="A8" t="s" s="5">
        <v>29</v>
      </c>
      <c r="B8" s="9">
        <v>5</v>
      </c>
      <c r="C8" t="s" s="7">
        <v>19</v>
      </c>
      <c r="D8" t="s" s="2">
        <v>30</v>
      </c>
      <c r="E8" t="s" s="2">
        <v>31</v>
      </c>
      <c r="F8" t="s" s="2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ht="14.45" customHeight="1">
      <c r="A9" t="s" s="5">
        <v>33</v>
      </c>
      <c r="B9" s="10" cm="1">
        <f t="array" ref="B9">1/(PI()*B7*B8)</f>
        <v>0.09094568176679731</v>
      </c>
      <c r="C9" t="s" s="7">
        <v>19</v>
      </c>
      <c r="D9" t="s" s="2">
        <v>34</v>
      </c>
      <c r="E9" t="s" s="2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ht="14.45" customHeight="1">
      <c r="A10" t="s" s="5">
        <v>36</v>
      </c>
      <c r="B10" s="6">
        <v>0.3</v>
      </c>
      <c r="C10" t="s" s="7">
        <v>19</v>
      </c>
      <c r="D10" t="s" s="2">
        <v>37</v>
      </c>
      <c r="E10" t="s" s="2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ht="14.45" customHeight="1">
      <c r="A11" t="s" s="5">
        <v>39</v>
      </c>
      <c r="B11" s="6">
        <v>1.43</v>
      </c>
      <c r="C11" t="s" s="7">
        <v>19</v>
      </c>
      <c r="D11" t="s" s="2">
        <v>40</v>
      </c>
      <c r="E11" t="s" s="2">
        <v>41</v>
      </c>
      <c r="F11" t="s" s="2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ht="14.45" customHeight="1">
      <c r="A12" t="s" s="5">
        <v>43</v>
      </c>
      <c r="B12" s="11" cm="1">
        <f t="array" ref="B12">B10</f>
        <v>0.3</v>
      </c>
      <c r="C12" t="s" s="7">
        <v>19</v>
      </c>
      <c r="D12" t="s" s="2">
        <v>44</v>
      </c>
      <c r="E12" t="s" s="2">
        <v>45</v>
      </c>
      <c r="F12" t="s" s="2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ht="14.45" customHeight="1">
      <c r="A13" t="s" s="5">
        <v>47</v>
      </c>
      <c r="B13" s="12" cm="1">
        <f t="array" ref="B13">B11/B20^2</f>
        <v>1.18181818181818</v>
      </c>
      <c r="C13" t="s" s="7">
        <v>19</v>
      </c>
      <c r="D13" t="s" s="2">
        <v>48</v>
      </c>
      <c r="E13" t="s" s="2">
        <v>49</v>
      </c>
      <c r="F13" t="s" s="2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ht="14.45" customHeight="1">
      <c r="A14" t="s" s="5">
        <v>51</v>
      </c>
      <c r="B14" s="13">
        <v>0.04</v>
      </c>
      <c r="C14" t="s" s="7">
        <v>19</v>
      </c>
      <c r="D14" t="s" s="2">
        <v>52</v>
      </c>
      <c r="E14" t="s" s="2">
        <v>53</v>
      </c>
      <c r="F14" t="s" s="2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ht="14.45" customHeight="1">
      <c r="A15" t="s" s="5">
        <v>55</v>
      </c>
      <c r="B15" s="10" cm="1">
        <f t="array" ref="B15">B14+B9*B10^2</f>
        <v>0.0481851113590118</v>
      </c>
      <c r="C15" t="s" s="7">
        <v>19</v>
      </c>
      <c r="D15" t="s" s="2">
        <v>56</v>
      </c>
      <c r="E15" t="s" s="2">
        <v>57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ht="14.45" customHeight="1">
      <c r="A16" t="s" s="5">
        <v>58</v>
      </c>
      <c r="B16" s="10" cm="1">
        <f t="array" ref="B16">B14+B9*B12^2</f>
        <v>0.0481851113590118</v>
      </c>
      <c r="C16" t="s" s="7">
        <v>19</v>
      </c>
      <c r="D16" t="s" s="2">
        <v>59</v>
      </c>
      <c r="E16" t="s" s="2">
        <v>60</v>
      </c>
      <c r="F16" t="s" s="2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ht="14.45" customHeight="1">
      <c r="A17" t="s" s="5">
        <v>61</v>
      </c>
      <c r="B17" s="10" cm="1">
        <f t="array" ref="B17">B16-B5*B12</f>
        <v>0.0331851113590118</v>
      </c>
      <c r="C17" t="s" s="7">
        <v>19</v>
      </c>
      <c r="D17" t="s" s="2">
        <v>62</v>
      </c>
      <c r="E17" t="s" s="2">
        <v>63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ht="14.45" customHeight="1">
      <c r="A18" t="s" s="5">
        <v>64</v>
      </c>
      <c r="B18" s="12" cm="1">
        <f t="array" ref="B18">B10/B15</f>
        <v>6.22598955442473</v>
      </c>
      <c r="C18" t="s" s="7">
        <v>19</v>
      </c>
      <c r="D18" t="s" s="2">
        <v>65</v>
      </c>
      <c r="E18" s="4"/>
      <c r="F18" t="s" s="2">
        <v>66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ht="14.45" customHeight="1">
      <c r="A19" t="s" s="5">
        <v>67</v>
      </c>
      <c r="B19" s="9">
        <v>10.5</v>
      </c>
      <c r="C19" t="s" s="7">
        <v>16</v>
      </c>
      <c r="D19" t="s" s="2">
        <v>68</v>
      </c>
      <c r="E19" t="s" s="2">
        <v>69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ht="14.45" customHeight="1">
      <c r="A20" t="s" s="5">
        <v>70</v>
      </c>
      <c r="B20" s="14">
        <v>1.1</v>
      </c>
      <c r="C20" t="s" s="7">
        <v>19</v>
      </c>
      <c r="D20" t="s" s="2">
        <v>71</v>
      </c>
      <c r="E20" t="s" s="2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ht="14.45" customHeight="1">
      <c r="A21" t="s" s="5">
        <v>72</v>
      </c>
      <c r="B21" s="12" cm="1">
        <f t="array" ref="B21">B20*B19</f>
        <v>11.55</v>
      </c>
      <c r="C21" t="s" s="7">
        <v>16</v>
      </c>
      <c r="D21" t="s" s="2">
        <v>73</v>
      </c>
      <c r="E21" t="s" s="2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ht="14.45" customHeight="1">
      <c r="A22" t="s" s="5">
        <v>74</v>
      </c>
      <c r="B22" s="12" cm="1">
        <f t="array" ref="B22">SQRT(B19^2*B11/B10)</f>
        <v>22.9243320513379</v>
      </c>
      <c r="C22" t="s" s="7">
        <v>16</v>
      </c>
      <c r="D22" t="s" s="2">
        <v>75</v>
      </c>
      <c r="E22" s="4"/>
      <c r="F22" t="s" s="2">
        <v>76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ht="14.45" customHeight="1">
      <c r="A23" t="s" s="5">
        <v>77</v>
      </c>
      <c r="B23" s="12" cm="1">
        <f t="array" ref="B23">SQRT(B26*B4*SQRT(B25^2-1))</f>
        <v>14.8107484143351</v>
      </c>
      <c r="C23" t="s" s="7">
        <v>16</v>
      </c>
      <c r="D23" t="s" s="2">
        <v>78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ht="14.45" customHeight="1">
      <c r="A24" t="s" s="5">
        <v>79</v>
      </c>
      <c r="B24" s="12" cm="1">
        <f t="array" ref="B24">B19*SQRT(B25)</f>
        <v>12.8598211496117</v>
      </c>
      <c r="C24" t="s" s="7">
        <v>16</v>
      </c>
      <c r="D24" t="s" s="2">
        <v>80</v>
      </c>
      <c r="E24" t="s" s="2">
        <v>81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ht="14.45" customHeight="1">
      <c r="A25" t="s" s="5">
        <v>82</v>
      </c>
      <c r="B25" s="6">
        <v>1.5</v>
      </c>
      <c r="C25" t="s" s="7">
        <v>19</v>
      </c>
      <c r="D25" t="s" s="2">
        <v>83</v>
      </c>
      <c r="E25" t="s" s="2">
        <v>84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ht="14.45" customHeight="1">
      <c r="A26" t="s" s="5">
        <v>85</v>
      </c>
      <c r="B26" s="6">
        <v>20</v>
      </c>
      <c r="C26" t="s" s="7">
        <v>86</v>
      </c>
      <c r="D26" t="s" s="2">
        <v>87</v>
      </c>
      <c r="E26" t="s" s="2">
        <v>81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ht="14.45" customHeight="1">
      <c r="A27" t="s" s="5">
        <v>88</v>
      </c>
      <c r="B27" s="12" cm="1">
        <f t="array" ref="B27">DEGREES(ACOS(1/B25))</f>
        <v>48.1896851042214</v>
      </c>
      <c r="C27" t="s" s="7">
        <v>89</v>
      </c>
      <c r="D27" t="s" s="2">
        <v>90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ht="14.45" customHeight="1">
      <c r="A28" t="s" s="5">
        <v>91</v>
      </c>
      <c r="B28" s="6">
        <v>0.75</v>
      </c>
      <c r="C28" t="s" s="7">
        <v>19</v>
      </c>
      <c r="D28" t="s" s="2">
        <v>92</v>
      </c>
      <c r="E28" t="s" s="2">
        <v>93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ht="14.45" customHeight="1">
      <c r="A29" t="s" s="5">
        <v>94</v>
      </c>
      <c r="B29" s="6">
        <v>0.75</v>
      </c>
      <c r="C29" t="s" s="7">
        <v>19</v>
      </c>
      <c r="D29" t="s" s="2">
        <v>95</v>
      </c>
      <c r="E29" t="s" s="2">
        <v>96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ht="14.45" customHeight="1">
      <c r="A30" t="s" s="5">
        <v>97</v>
      </c>
      <c r="B30" s="6">
        <v>0.45</v>
      </c>
      <c r="C30" t="s" s="7">
        <v>19</v>
      </c>
      <c r="D30" t="s" s="2">
        <v>98</v>
      </c>
      <c r="E30" t="s" s="2">
        <v>96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ht="14.45" customHeight="1">
      <c r="A31" t="s" s="5">
        <v>99</v>
      </c>
      <c r="B31" s="6">
        <v>30</v>
      </c>
      <c r="C31" t="s" s="7">
        <v>86</v>
      </c>
      <c r="D31" t="s" s="2">
        <v>100</v>
      </c>
      <c r="E31" t="s" s="2">
        <v>101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ht="14.45" customHeight="1">
      <c r="A32" t="s" s="5">
        <v>102</v>
      </c>
      <c r="B32" s="6">
        <v>100</v>
      </c>
      <c r="C32" t="s" s="7">
        <v>86</v>
      </c>
      <c r="D32" t="s" s="2">
        <v>103</v>
      </c>
      <c r="E32" t="s" s="2">
        <v>104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ht="14.45" customHeight="1">
      <c r="A33" t="s" s="5">
        <v>105</v>
      </c>
      <c r="B33" s="12" cm="1">
        <f t="array" ref="B33">DEGREES(ATAN(30/100))</f>
        <v>16.6992442339936</v>
      </c>
      <c r="C33" t="s" s="7">
        <v>89</v>
      </c>
      <c r="D33" t="s" s="2">
        <v>106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ht="14.45" customHeight="1">
      <c r="A34" t="s" s="5">
        <v>107</v>
      </c>
      <c r="B34" s="9">
        <v>25</v>
      </c>
      <c r="C34" t="s" s="7">
        <v>86</v>
      </c>
      <c r="D34" t="s" s="2">
        <v>108</v>
      </c>
      <c r="E34" t="s" s="2">
        <v>109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ht="14.45" customHeight="1">
      <c r="A35" t="s" s="5">
        <v>110</v>
      </c>
      <c r="B35" s="6">
        <v>100</v>
      </c>
      <c r="C35" t="s" s="7">
        <v>111</v>
      </c>
      <c r="D35" t="s" s="2">
        <v>112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ht="14.45" customHeight="1">
      <c r="A36" t="s" s="5">
        <v>113</v>
      </c>
      <c r="B36" s="6">
        <v>0.07000000000000001</v>
      </c>
      <c r="C36" t="s" s="7">
        <v>114</v>
      </c>
      <c r="D36" t="s" s="2">
        <v>115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ht="14.45" customHeight="1">
      <c r="A37" t="s" s="5">
        <v>116</v>
      </c>
      <c r="B37" s="6">
        <v>0.8</v>
      </c>
      <c r="C37" t="s" s="7">
        <v>19</v>
      </c>
      <c r="D37" t="s" s="2">
        <v>117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ht="14.45" customHeight="1">
      <c r="A38" t="s" s="5">
        <v>118</v>
      </c>
      <c r="B38" s="15">
        <v>4.45</v>
      </c>
      <c r="C38" t="s" s="2">
        <v>119</v>
      </c>
      <c r="D38" t="s" s="2">
        <v>120</v>
      </c>
      <c r="E38" t="s" s="2">
        <v>121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ht="14.45" customHeight="1">
      <c r="A39" t="s" s="5">
        <v>122</v>
      </c>
      <c r="B39" s="16" cm="1">
        <f t="array" ref="B39">B4*B38</f>
        <v>43.6545</v>
      </c>
      <c r="C39" t="s" s="2">
        <v>123</v>
      </c>
      <c r="D39" t="s" s="2">
        <v>124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ht="14.45" customHeight="1">
      <c r="A40" t="s" s="5">
        <v>125</v>
      </c>
      <c r="B40" s="17" cm="1">
        <f t="array" ref="B40">B39/B35</f>
        <v>0.436545</v>
      </c>
      <c r="C40" t="s" s="2">
        <v>126</v>
      </c>
      <c r="D40" t="s" s="2">
        <v>127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ht="14.45" customHeight="1">
      <c r="A41" t="s" s="2">
        <v>128</v>
      </c>
      <c r="B41" s="18">
        <v>-0.08</v>
      </c>
      <c r="C41" t="s" s="2">
        <v>19</v>
      </c>
      <c r="D41" t="s" s="2">
        <v>129</v>
      </c>
      <c r="E41" t="s" s="2">
        <v>130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ht="14.45" customHeight="1">
      <c r="A42" t="s" s="2">
        <v>131</v>
      </c>
      <c r="B42" s="18">
        <v>0.291</v>
      </c>
      <c r="C42" s="4"/>
      <c r="D42" t="s" s="2">
        <v>132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4.45" customHeight="1">
      <c r="A43" t="s" s="2">
        <v>133</v>
      </c>
      <c r="B43" s="18">
        <v>0.25</v>
      </c>
      <c r="C43" s="4"/>
      <c r="D43" t="s" s="2">
        <v>134</v>
      </c>
      <c r="E43" t="s" s="2">
        <v>135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ht="14.45" customHeight="1">
      <c r="A44" t="s" s="19">
        <v>136</v>
      </c>
      <c r="B44" s="18">
        <v>0.65</v>
      </c>
      <c r="C44" t="s" s="2">
        <v>137</v>
      </c>
      <c r="D44" t="s" s="2">
        <v>138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ht="14.45" customHeight="1">
      <c r="A45" t="s" s="2">
        <v>139</v>
      </c>
      <c r="B45" s="18">
        <v>0.2</v>
      </c>
      <c r="C45" t="s" s="2">
        <v>19</v>
      </c>
      <c r="D45" t="s" s="2">
        <v>140</v>
      </c>
      <c r="E45" t="s" s="2">
        <v>141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ht="14.45" customHeight="1">
      <c r="A46" t="s" s="2">
        <v>142</v>
      </c>
      <c r="B46" s="18">
        <v>0.43</v>
      </c>
      <c r="C46" t="s" s="2">
        <v>19</v>
      </c>
      <c r="D46" t="s" s="2">
        <v>143</v>
      </c>
      <c r="E46" t="s" s="2">
        <v>130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ht="14.45" customHeight="1">
      <c r="A47" t="s" s="2">
        <v>144</v>
      </c>
      <c r="B47" s="18">
        <v>0.12</v>
      </c>
      <c r="C47" t="s" s="2">
        <v>86</v>
      </c>
      <c r="D47" t="s" s="2">
        <v>145</v>
      </c>
      <c r="E47" t="s" s="2">
        <v>146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ht="14.45" customHeight="1">
      <c r="A48" t="s" s="2">
        <v>147</v>
      </c>
      <c r="B48" s="18">
        <v>2.75</v>
      </c>
      <c r="C48" t="s" s="2">
        <v>19</v>
      </c>
      <c r="D48" t="s" s="2">
        <v>148</v>
      </c>
      <c r="E48" t="s" s="2">
        <v>149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ht="14.4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ht="14.4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ht="14.4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ht="14.4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ht="14.4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ht="14.4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ht="14.4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ht="14.4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ht="14.4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ht="14.4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ht="14.4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ht="14.4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ht="14.4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ht="14.4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ht="14.4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ht="14.4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ht="14.4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ht="14.4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ht="14.4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ht="14.4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ht="14.4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ht="14.4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ht="14.4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ht="14.4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ht="14.4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ht="14.4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ht="14.4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ht="14.4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ht="14.4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ht="14.4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ht="14.4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ht="14.4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ht="14.4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ht="14.4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ht="14.4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ht="14.4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ht="14.4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ht="14.4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ht="14.4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ht="14.4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ht="14.4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ht="14.4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ht="14.4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ht="14.4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ht="14.4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ht="14.4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ht="14.4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ht="14.4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ht="14.4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ht="14.4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ht="14.4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ht="14.4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ht="14.4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ht="14.4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ht="14.4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ht="14.4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ht="14.4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ht="14.4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4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4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4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4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4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4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4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4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4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4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4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4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4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4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4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4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4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4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4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4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4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4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ht="14.4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