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4DFD7F99-B8C2-4D04-AFEF-A66B193642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4" i="1"/>
  <c r="B22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<sst xmlns="http://schemas.openxmlformats.org/spreadsheetml/2006/main" count="134" uniqueCount="106">
  <si>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</si>
  <si>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</si>
  <si>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</si>
  <si>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</si>
  <si>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</si>
  <si>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</si>
  <si>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</si>
  <si>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</si>
  <si>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</si>
  <si>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</si>
  <si>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</si>
  <si>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</si>
  <si>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</si>
  <si>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</si>
  <si>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</si>
  <si>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</si>
  <si>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</si>
  <si>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</si>
  <si>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</si>
  <si>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</si>
  <si>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</si>
  <si>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</si>
  <si>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</si>
  <si>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</si>
  <si>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</si>
  <si>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</si>
  <si>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</si>
  <si>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</si>
  <si>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</si>
  <si>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</si>
  <si>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</si>
  <si>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</si>
  <si>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</si>
  <si>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</si>
  <si>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</si>
  <si>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</si>
  <si>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</si>
  <si>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</si>
  <si>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</si>
  <si>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</si>
  <si>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</si>
  <si>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</si>
  <si>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</si>
  <si>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</si>
  <si>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</si>
  <si>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</si>
  <si>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</si>
  <si>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</si>
  <si>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</si>
  <si>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</si>
  <si>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</si>
  <si>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</si>
  <si>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</si>
  <si>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</si>
  <si>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</si>
  <si>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</si>
  <si>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</si>
  <si>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</si>
  <si>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</si>
  <si>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</si>
  <si>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Inducer drag factor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</si>
  <si>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</si>
  <si>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</si>
  <si>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</si>
  <si>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</si>
  <si>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</si>
  <si>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</si>
  <si>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</si>
  <si>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</si>
  <si>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</si>
  <si>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</si>
  <si>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</si>
  <si>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</si>
  <si>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</si>
  <si>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</si>
  <si>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</si>
  <si>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</si>
  <si>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</si>
  <si>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</si>
  <si>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</si>
  <si>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</si>
  <si>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</si>
  <si>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</si>
  <si>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</si>
  <si>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</si>
  <si>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</si>
  <si>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</si>
  <si>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</si>
  <si>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</si>
  <si>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</si>
  <si>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</si>
  <si>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</si>
  <si>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</si>
  <si>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</si>
  <si>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</si>
  <si>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</si>
  <si>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</si>
  <si>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</si>
  <si>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</si>
  <si>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Wing loading</t>
  </si>
  <si>
    <t>Power loading</t>
  </si>
  <si>
    <t>N/W</t>
  </si>
  <si>
    <t>N/m^2</t>
  </si>
  <si>
    <t>Assumed at cruise</t>
  </si>
  <si>
    <t>W_S_design</t>
  </si>
  <si>
    <t>W_P_design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</si>
</sst>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39</xdr:row>
      <xdr:rowOff>28575</xdr:rowOff>
    </xdr:from>
    <xdr:to>
      <xdr:col>4</xdr:col>
      <xdr:colOff>347718</xdr:colOff>
      <xdr:row>54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38</xdr:row>
      <xdr:rowOff>131989</xdr:rowOff>
    </xdr:from>
    <xdr:to>
      <xdr:col>13</xdr:col>
      <xdr:colOff>308883</xdr:colOff>
      <xdr:row>52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56</xdr:row>
      <xdr:rowOff>171450</xdr:rowOff>
    </xdr:from>
    <xdr:to>
      <xdr:col>4</xdr:col>
      <xdr:colOff>430742</xdr:colOff>
      <xdr:row>73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297996</xdr:colOff>
      <xdr:row>65</xdr:row>
      <xdr:rowOff>108857</xdr:rowOff>
    </xdr:from>
    <xdr:to>
      <xdr:col>14</xdr:col>
      <xdr:colOff>153761</xdr:colOff>
      <xdr:row>85</xdr:row>
      <xdr:rowOff>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7796" y="12491357"/>
          <a:ext cx="4732565" cy="3701912"/>
        </a:xfrm>
        <a:prstGeom prst="rect">
          <a:avLst/>
        </a:prstGeom>
      </xdr:spPr>
    </xdr:pic>
    <xdr:clientData/>
  </xdr:twoCellAnchor>
  <xdr:twoCellAnchor editAs="oneCell">
    <xdr:from>
      <xdr:col>6</xdr:col>
      <xdr:colOff>254453</xdr:colOff>
      <xdr:row>57</xdr:row>
      <xdr:rowOff>81642</xdr:rowOff>
    </xdr:from>
    <xdr:to>
      <xdr:col>13</xdr:col>
      <xdr:colOff>472167</xdr:colOff>
      <xdr:row>63</xdr:row>
      <xdr:rowOff>67620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74253" y="10940142"/>
          <a:ext cx="448491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74</xdr:row>
      <xdr:rowOff>182217</xdr:rowOff>
    </xdr:from>
    <xdr:to>
      <xdr:col>4</xdr:col>
      <xdr:colOff>784680</xdr:colOff>
      <xdr:row>83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86</xdr:row>
      <xdr:rowOff>95250</xdr:rowOff>
    </xdr:from>
    <xdr:to>
      <xdr:col>4</xdr:col>
      <xdr:colOff>1609725</xdr:colOff>
      <xdr:row>89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87</xdr:row>
      <xdr:rowOff>142875</xdr:rowOff>
    </xdr:from>
    <xdr:to>
      <xdr:col>13</xdr:col>
      <xdr:colOff>248180</xdr:colOff>
      <xdr:row>108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5</xdr:col>
      <xdr:colOff>48283</xdr:colOff>
      <xdr:row>107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109</xdr:row>
      <xdr:rowOff>161925</xdr:rowOff>
    </xdr:from>
    <xdr:to>
      <xdr:col>4</xdr:col>
      <xdr:colOff>1647825</xdr:colOff>
      <xdr:row>124</xdr:row>
      <xdr:rowOff>173513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113</xdr:row>
      <xdr:rowOff>57150</xdr:rowOff>
    </xdr:from>
    <xdr:to>
      <xdr:col>16</xdr:col>
      <xdr:colOff>19050</xdr:colOff>
      <xdr:row>119</xdr:row>
      <xdr:rowOff>139546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tabSelected="1" zoomScaleNormal="100" workbookViewId="0">
      <selection activeCell="B33" sqref="B33"/>
    </sheetView>
  </sheetViews>
  <sheetFormatPr defaultRowHeight="15" x14ac:dyDescent="0.25"/>
  <cols>
    <col min="1" max="1" width="11.8554687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25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25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25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25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25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25">
      <c r="A7" t="s">
        <v>20</v>
      </c>
      <c r="B7" s="2">
        <v>5</v>
      </c>
      <c r="C7" t="s">
        <v>7</v>
      </c>
      <c r="D7" t="s">
        <v>59</v>
      </c>
      <c r="E7" t="s">
        <v>76</v>
      </c>
      <c r="F7" t="s">
        <v>77</v>
      </c>
    </row>
    <row r="8" spans="1:6" x14ac:dyDescent="0.25">
      <c r="A8" t="s">
        <v>34</v>
      </c>
      <c r="B8" s="3">
        <f>1/(PI()*B6*B7)</f>
        <v>9.0945681766797334E-2</v>
      </c>
      <c r="C8" t="s">
        <v>7</v>
      </c>
      <c r="D8" t="s">
        <v>60</v>
      </c>
      <c r="E8" t="s">
        <v>43</v>
      </c>
    </row>
    <row r="9" spans="1:6" x14ac:dyDescent="0.25">
      <c r="A9" t="s">
        <v>37</v>
      </c>
      <c r="B9" s="1">
        <v>0.3</v>
      </c>
      <c r="C9" t="s">
        <v>7</v>
      </c>
      <c r="D9" t="s">
        <v>65</v>
      </c>
      <c r="E9" t="s">
        <v>38</v>
      </c>
    </row>
    <row r="10" spans="1:6" x14ac:dyDescent="0.25">
      <c r="A10" t="s">
        <v>3</v>
      </c>
      <c r="B10" s="1">
        <v>1.5</v>
      </c>
      <c r="C10" t="s">
        <v>7</v>
      </c>
      <c r="D10" t="s">
        <v>64</v>
      </c>
      <c r="E10" t="s">
        <v>35</v>
      </c>
      <c r="F10" t="s">
        <v>36</v>
      </c>
    </row>
    <row r="11" spans="1:6" x14ac:dyDescent="0.25">
      <c r="A11" t="s">
        <v>44</v>
      </c>
      <c r="B11" s="5">
        <f>B9</f>
        <v>0.3</v>
      </c>
      <c r="D11" t="s">
        <v>61</v>
      </c>
      <c r="E11" t="s">
        <v>51</v>
      </c>
      <c r="F11" t="s">
        <v>62</v>
      </c>
    </row>
    <row r="12" spans="1:6" x14ac:dyDescent="0.25">
      <c r="A12" t="s">
        <v>48</v>
      </c>
      <c r="B12" s="6">
        <f>B10/B19^2</f>
        <v>1.2396694214876032</v>
      </c>
      <c r="C12" t="s">
        <v>7</v>
      </c>
      <c r="D12" t="s">
        <v>63</v>
      </c>
      <c r="E12" t="s">
        <v>46</v>
      </c>
      <c r="F12" t="s">
        <v>49</v>
      </c>
    </row>
    <row r="13" spans="1:6" x14ac:dyDescent="0.25">
      <c r="A13" t="s">
        <v>23</v>
      </c>
      <c r="B13" s="4">
        <v>0.04</v>
      </c>
      <c r="C13" t="s">
        <v>7</v>
      </c>
      <c r="D13" t="s">
        <v>66</v>
      </c>
      <c r="E13" t="s">
        <v>28</v>
      </c>
      <c r="F13" t="s">
        <v>40</v>
      </c>
    </row>
    <row r="14" spans="1:6" x14ac:dyDescent="0.25">
      <c r="A14" t="s">
        <v>24</v>
      </c>
      <c r="B14" s="3">
        <f>B13+B8*B9^2</f>
        <v>4.8185111359011761E-2</v>
      </c>
      <c r="C14" t="s">
        <v>7</v>
      </c>
      <c r="D14" t="s">
        <v>67</v>
      </c>
      <c r="E14" t="s">
        <v>42</v>
      </c>
    </row>
    <row r="15" spans="1:6" x14ac:dyDescent="0.25">
      <c r="A15" t="s">
        <v>39</v>
      </c>
      <c r="B15" s="3">
        <f>B13+B8*B11^2</f>
        <v>4.8185111359011761E-2</v>
      </c>
      <c r="C15" t="s">
        <v>7</v>
      </c>
      <c r="D15" t="s">
        <v>68</v>
      </c>
      <c r="E15" t="s">
        <v>50</v>
      </c>
      <c r="F15" t="s">
        <v>62</v>
      </c>
    </row>
    <row r="16" spans="1:6" x14ac:dyDescent="0.25">
      <c r="A16" t="s">
        <v>25</v>
      </c>
      <c r="B16" s="3">
        <f>B15-B4*B11</f>
        <v>3.3185111359011761E-2</v>
      </c>
      <c r="C16" t="s">
        <v>7</v>
      </c>
      <c r="D16" t="s">
        <v>69</v>
      </c>
      <c r="E16" t="s">
        <v>41</v>
      </c>
    </row>
    <row r="17" spans="1:6" x14ac:dyDescent="0.25">
      <c r="A17" t="s">
        <v>4</v>
      </c>
      <c r="B17" s="6">
        <f>B9/B14</f>
        <v>6.2259895544247374</v>
      </c>
      <c r="C17" t="s">
        <v>7</v>
      </c>
      <c r="D17" t="s">
        <v>70</v>
      </c>
      <c r="F17" t="s">
        <v>103</v>
      </c>
    </row>
    <row r="18" spans="1:6" x14ac:dyDescent="0.25">
      <c r="A18" t="s">
        <v>5</v>
      </c>
      <c r="B18" s="2">
        <v>10.5</v>
      </c>
      <c r="C18" t="s">
        <v>8</v>
      </c>
      <c r="D18" t="s">
        <v>71</v>
      </c>
      <c r="E18" t="s">
        <v>91</v>
      </c>
    </row>
    <row r="19" spans="1:6" x14ac:dyDescent="0.25">
      <c r="A19" t="s">
        <v>47</v>
      </c>
      <c r="B19" s="7">
        <v>1.1000000000000001</v>
      </c>
      <c r="C19" t="s">
        <v>7</v>
      </c>
      <c r="D19" t="s">
        <v>72</v>
      </c>
      <c r="E19" t="s">
        <v>38</v>
      </c>
    </row>
    <row r="20" spans="1:6" x14ac:dyDescent="0.25">
      <c r="A20" t="s">
        <v>16</v>
      </c>
      <c r="B20" s="6">
        <f>B19*B18</f>
        <v>11.55</v>
      </c>
      <c r="C20" t="s">
        <v>8</v>
      </c>
      <c r="D20" t="s">
        <v>73</v>
      </c>
      <c r="E20" t="s">
        <v>38</v>
      </c>
    </row>
    <row r="21" spans="1:6" x14ac:dyDescent="0.25">
      <c r="A21" t="s">
        <v>15</v>
      </c>
      <c r="B21" s="6">
        <f>SQRT(B18^2*B10/B9)</f>
        <v>23.478713763747791</v>
      </c>
      <c r="C21" t="s">
        <v>8</v>
      </c>
      <c r="D21" t="s">
        <v>74</v>
      </c>
      <c r="F21" t="s">
        <v>75</v>
      </c>
    </row>
    <row r="22" spans="1:6" x14ac:dyDescent="0.25">
      <c r="A22" t="s">
        <v>17</v>
      </c>
      <c r="B22" s="6">
        <f>B18*SQRT(B23)</f>
        <v>12.859821149611683</v>
      </c>
      <c r="C22" t="s">
        <v>8</v>
      </c>
      <c r="D22" t="s">
        <v>80</v>
      </c>
      <c r="E22" t="s">
        <v>82</v>
      </c>
    </row>
    <row r="23" spans="1:6" x14ac:dyDescent="0.25">
      <c r="A23" t="s">
        <v>26</v>
      </c>
      <c r="B23" s="1">
        <v>1.5</v>
      </c>
      <c r="C23" t="s">
        <v>7</v>
      </c>
      <c r="D23" t="s">
        <v>78</v>
      </c>
      <c r="E23" t="s">
        <v>79</v>
      </c>
    </row>
    <row r="24" spans="1:6" x14ac:dyDescent="0.25">
      <c r="A24" t="s">
        <v>81</v>
      </c>
      <c r="B24" s="6">
        <f>DEGREES(ACOS(1/B23))</f>
        <v>48.189685104221404</v>
      </c>
      <c r="C24" t="s">
        <v>85</v>
      </c>
      <c r="D24" t="s">
        <v>90</v>
      </c>
    </row>
    <row r="25" spans="1:6" x14ac:dyDescent="0.25">
      <c r="A25" t="s">
        <v>18</v>
      </c>
      <c r="B25" s="1">
        <v>0.75</v>
      </c>
      <c r="C25" t="s">
        <v>7</v>
      </c>
      <c r="D25" t="s">
        <v>83</v>
      </c>
      <c r="E25" t="s">
        <v>89</v>
      </c>
    </row>
    <row r="26" spans="1:6" x14ac:dyDescent="0.25">
      <c r="A26" t="s">
        <v>21</v>
      </c>
      <c r="B26" s="1">
        <v>0.75</v>
      </c>
      <c r="C26" t="s">
        <v>7</v>
      </c>
      <c r="D26" t="s">
        <v>86</v>
      </c>
      <c r="E26" t="s">
        <v>88</v>
      </c>
    </row>
    <row r="27" spans="1:6" x14ac:dyDescent="0.25">
      <c r="A27" t="s">
        <v>22</v>
      </c>
      <c r="B27" s="1">
        <v>0.45</v>
      </c>
      <c r="C27" t="s">
        <v>7</v>
      </c>
      <c r="D27" t="s">
        <v>87</v>
      </c>
      <c r="E27" t="s">
        <v>88</v>
      </c>
    </row>
    <row r="28" spans="1:6" x14ac:dyDescent="0.25">
      <c r="A28" t="s">
        <v>92</v>
      </c>
      <c r="B28" s="1">
        <v>30</v>
      </c>
      <c r="C28" t="s">
        <v>94</v>
      </c>
      <c r="D28" t="s">
        <v>95</v>
      </c>
      <c r="E28" t="s">
        <v>98</v>
      </c>
    </row>
    <row r="29" spans="1:6" x14ac:dyDescent="0.25">
      <c r="A29" t="s">
        <v>93</v>
      </c>
      <c r="B29" s="8">
        <v>100</v>
      </c>
      <c r="C29" t="s">
        <v>94</v>
      </c>
      <c r="D29" t="s">
        <v>96</v>
      </c>
      <c r="E29" t="s">
        <v>97</v>
      </c>
    </row>
    <row r="30" spans="1:6" x14ac:dyDescent="0.25">
      <c r="A30" t="s">
        <v>19</v>
      </c>
      <c r="B30" s="6">
        <f>DEGREES(ATAN(30/100))</f>
        <v>16.699244233993621</v>
      </c>
      <c r="C30" t="s">
        <v>85</v>
      </c>
      <c r="D30" t="s">
        <v>84</v>
      </c>
    </row>
    <row r="31" spans="1:6" x14ac:dyDescent="0.25">
      <c r="A31" t="s">
        <v>104</v>
      </c>
      <c r="B31" s="1">
        <v>0.1</v>
      </c>
      <c r="C31" t="s">
        <v>101</v>
      </c>
      <c r="D31" t="s">
        <v>99</v>
      </c>
    </row>
    <row r="32" spans="1:6" x14ac:dyDescent="0.25">
      <c r="A32" t="s">
        <v>105</v>
      </c>
      <c r="B32" s="1">
        <v>0.1</v>
      </c>
      <c r="C32" t="s">
        <v>102</v>
      </c>
      <c r="D32" t="s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2026-08-30T20:19:16Z</dcterms:modified>
</cp:coreProperties>
</file>