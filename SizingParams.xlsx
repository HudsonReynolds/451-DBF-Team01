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0CF1B17B-09B2-4594-99A8-59303D560F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" i="1" l="1"/>
  <c r="B39" i="1"/>
  <c r="B33" i="1" a="1"/>
  <c r="B33" i="1" s="1"/>
  <c r="B27" i="1" a="1"/>
  <c r="B27" i="1" s="1"/>
  <c r="B24" i="1" a="1"/>
  <c r="B24" i="1" s="1"/>
  <c r="B23" i="1" a="1"/>
  <c r="B23" i="1" s="1"/>
  <c r="B22" i="1" a="1"/>
  <c r="B22" i="1" s="1"/>
  <c r="B21" i="1" a="1"/>
  <c r="B21" i="1"/>
  <c r="B13" i="1" a="1"/>
  <c r="B13" i="1" s="1"/>
  <c r="B12" i="1" a="1"/>
  <c r="B12" i="1" s="1"/>
  <c r="B9" i="1" a="1"/>
  <c r="B9" i="1" s="1"/>
  <c r="B16" i="1" l="1" a="1"/>
  <c r="B16" i="1" s="1"/>
  <c r="B17" i="1" s="1" a="1"/>
  <c r="B17" i="1" s="1"/>
  <c r="B15" i="1" a="1"/>
  <c r="B15" i="1" s="1"/>
  <c r="B18" i="1" s="1" a="1"/>
  <c r="B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<sst xmlns="http://schemas.openxmlformats.org/spreadsheetml/2006/main" count="163" uniqueCount="128">
  <si>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</si>
  <si>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</si>
  <si>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</si>
  <si>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</si>
  <si>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</si>
  <si>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</si>
  <si>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</si>
  <si>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</si>
  <si>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</si>
  <si>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</si>
  <si>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</si>
  <si>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g</t>
  </si>
  <si>
    <t>m/s</t>
  </si>
  <si>
    <t>Gravitational constant</t>
  </si>
  <si>
    <t>NIST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</si>
  <si>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</si>
  <si>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</si>
  <si>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</si>
  <si>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</si>
  <si>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</si>
  <si>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</si>
  <si>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</si>
  <si>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</si>
  <si>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</si>
  <si>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</si>
  <si>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</si>
  <si>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</si>
  <si>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</si>
  <si>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</si>
  <si>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</si>
  <si>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</si>
  <si>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</si>
  <si>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</si>
  <si>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</si>
  <si>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</si>
  <si>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</si>
  <si>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</si>
  <si>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</si>
  <si>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</si>
  <si>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</si>
  <si>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</si>
  <si>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</si>
  <si>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</si>
  <si>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</si>
  <si>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</si>
  <si>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</si>
  <si>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</si>
  <si>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</si>
  <si>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</si>
  <si>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</si>
  <si>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</si>
  <si>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</si>
  <si>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</si>
  <si>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</si>
  <si>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</si>
  <si>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</si>
  <si>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</si>
  <si>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</si>
  <si>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</si>
  <si>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</si>
  <si>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</si>
  <si>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</si>
  <si>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</si>
  <si>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</si>
  <si>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</si>
  <si>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</si>
  <si>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</si>
  <si>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</si>
  <si>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</si>
  <si>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</si>
  <si>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</si>
  <si>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</si>
  <si>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</si>
  <si>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</si>
  <si>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</si>
  <si>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</si>
  <si>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</si>
  <si>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</si>
  <si>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</si>
  <si>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</si>
  <si>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</si>
  <si>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</si>
  <si>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</si>
  <si>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</si>
  <si>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</si>
  <si>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</si>
  <si>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</si>
  <si>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</si>
  <si>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</si>
  <si>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</si>
  <si>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</si>
  <si>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</si>
  <si>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</si>
  <si>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</si>
  <si>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</si>
  <si>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</si>
  <si>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</si>
  <si>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</si>
  <si>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</si>
  <si>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</si>
  <si>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</si>
  <si>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</si>
  <si>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</si>
  <si>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</si>
  <si>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</si>
  <si>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</si>
  <si>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</si>
  <si>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</si>
  <si>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</si>
  <si>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</si>
  <si>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</si>
  <si>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</si>
  <si>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</si>
  <si>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</si>
  <si>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</si>
  <si>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visc</t>
  </si>
  <si>
    <t>Pa-s</t>
  </si>
  <si>
    <t>Air viscosity</t>
  </si>
  <si>
    <t>MTOW</t>
  </si>
  <si>
    <t>MTOM</t>
  </si>
  <si>
    <t>kg</t>
  </si>
  <si>
    <t>Takeoff mass</t>
  </si>
  <si>
    <t>N</t>
  </si>
  <si>
    <t>Takeoff weight</t>
  </si>
  <si>
    <t>S_wing</t>
  </si>
  <si>
    <t>m^2</t>
  </si>
  <si>
    <t>Wing area</t>
  </si>
  <si>
    <t>From weight estimation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</si>
</sst>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E+00"/>
    <numFmt numFmtId="168" formatCode="0.0000"/>
  </numFmts>
  <fonts count="6">
    <font>
      <sz val="11"/>
      <color indexed="8"/>
      <name val="Calibri"/>
    </font>
    <font>
      <sz val="11"/>
      <color indexed="12"/>
      <name val="Calibri"/>
    </font>
    <font>
      <b/>
      <sz val="11"/>
      <color indexed="14"/>
      <name val="Calibri"/>
    </font>
    <font>
      <b/>
      <sz val="11"/>
      <color rgb="FFFA7D00"/>
      <name val="Helvetica Neue"/>
      <family val="2"/>
      <scheme val="minor"/>
    </font>
    <font>
      <b/>
      <sz val="11"/>
      <color rgb="FFFA7D00"/>
      <name val="Calibri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 applyNumberFormat="0" applyFill="0" applyBorder="0" applyProtection="0"/>
    <xf numFmtId="0" fontId="3" fillId="5" borderId="7" applyNumberFormat="0" applyAlignment="0" applyProtection="0"/>
  </cellStyleXfs>
  <cellXfs count="20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49" fontId="0" fillId="2" borderId="2" xfId="0" applyNumberFormat="1" applyFill="1" applyBorder="1"/>
    <xf numFmtId="0" fontId="0" fillId="2" borderId="1" xfId="0" applyFill="1" applyBorder="1"/>
    <xf numFmtId="49" fontId="0" fillId="2" borderId="3" xfId="0" applyNumberFormat="1" applyFill="1" applyBorder="1"/>
    <xf numFmtId="0" fontId="1" fillId="3" borderId="4" xfId="0" applyNumberFormat="1" applyFont="1" applyFill="1" applyBorder="1"/>
    <xf numFmtId="49" fontId="0" fillId="2" borderId="5" xfId="0" applyNumberFormat="1" applyFill="1" applyBorder="1"/>
    <xf numFmtId="2" fontId="1" fillId="3" borderId="4" xfId="0" applyNumberFormat="1" applyFont="1" applyFill="1" applyBorder="1"/>
    <xf numFmtId="164" fontId="2" fillId="4" borderId="4" xfId="0" applyNumberFormat="1" applyFont="1" applyFill="1" applyBorder="1"/>
    <xf numFmtId="0" fontId="2" fillId="4" borderId="4" xfId="0" applyNumberFormat="1" applyFont="1" applyFill="1" applyBorder="1"/>
    <xf numFmtId="2" fontId="2" fillId="4" borderId="4" xfId="0" applyNumberFormat="1" applyFont="1" applyFill="1" applyBorder="1"/>
    <xf numFmtId="164" fontId="1" fillId="3" borderId="4" xfId="0" applyNumberFormat="1" applyFont="1" applyFill="1" applyBorder="1"/>
    <xf numFmtId="165" fontId="1" fillId="3" borderId="4" xfId="0" applyNumberFormat="1" applyFont="1" applyFill="1" applyBorder="1"/>
    <xf numFmtId="0" fontId="1" fillId="3" borderId="6" xfId="0" applyNumberFormat="1" applyFont="1" applyFill="1" applyBorder="1"/>
    <xf numFmtId="166" fontId="1" fillId="3" borderId="4" xfId="0" applyNumberFormat="1" applyFont="1" applyFill="1" applyBorder="1"/>
    <xf numFmtId="0" fontId="4" fillId="5" borderId="7" xfId="1" applyFont="1"/>
    <xf numFmtId="2" fontId="4" fillId="5" borderId="7" xfId="1" applyNumberFormat="1" applyFont="1"/>
    <xf numFmtId="168" fontId="4" fillId="5" borderId="7" xfId="1" applyNumberFormat="1" applyFont="1"/>
    <xf numFmtId="0" fontId="5" fillId="2" borderId="1" xfId="0" applyFont="1" applyFill="1" applyBorder="1"/>
  </cellXfs>
  <cellStyles count="2">
    <cellStyle name="Calculation" xfId="1" builtinId="22"/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43</xdr:row>
      <xdr:rowOff>28572</xdr:rowOff>
    </xdr:from>
    <xdr:to>
      <xdr:col>4</xdr:col>
      <xdr:colOff>353433</xdr:colOff>
      <xdr:row>58</xdr:row>
      <xdr:rowOff>91441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7709532"/>
          <a:ext cx="4026909" cy="280607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540205</xdr:colOff>
      <xdr:row>40</xdr:row>
      <xdr:rowOff>131984</xdr:rowOff>
    </xdr:from>
    <xdr:to>
      <xdr:col>13</xdr:col>
      <xdr:colOff>314597</xdr:colOff>
      <xdr:row>54</xdr:row>
      <xdr:rowOff>99025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98205" y="7264304"/>
          <a:ext cx="4486093" cy="252736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60</xdr:row>
      <xdr:rowOff>171452</xdr:rowOff>
    </xdr:from>
    <xdr:to>
      <xdr:col>4</xdr:col>
      <xdr:colOff>434552</xdr:colOff>
      <xdr:row>77</xdr:row>
      <xdr:rowOff>133356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0961372"/>
          <a:ext cx="4031828" cy="307086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67</xdr:row>
      <xdr:rowOff>108861</xdr:rowOff>
    </xdr:from>
    <xdr:to>
      <xdr:col>14</xdr:col>
      <xdr:colOff>153761</xdr:colOff>
      <xdr:row>87</xdr:row>
      <xdr:rowOff>778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155994" y="12178941"/>
          <a:ext cx="5240568" cy="354951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59</xdr:row>
      <xdr:rowOff>81644</xdr:rowOff>
    </xdr:from>
    <xdr:to>
      <xdr:col>13</xdr:col>
      <xdr:colOff>475977</xdr:colOff>
      <xdr:row>65</xdr:row>
      <xdr:rowOff>60004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12451" y="10688684"/>
          <a:ext cx="4933227" cy="107564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78</xdr:row>
      <xdr:rowOff>182223</xdr:rowOff>
    </xdr:from>
    <xdr:to>
      <xdr:col>4</xdr:col>
      <xdr:colOff>780870</xdr:colOff>
      <xdr:row>87</xdr:row>
      <xdr:rowOff>21047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4263983"/>
          <a:ext cx="4616271" cy="148474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90</xdr:row>
      <xdr:rowOff>95262</xdr:rowOff>
    </xdr:from>
    <xdr:to>
      <xdr:col>4</xdr:col>
      <xdr:colOff>1619250</xdr:colOff>
      <xdr:row>93</xdr:row>
      <xdr:rowOff>16204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371582"/>
          <a:ext cx="5454650" cy="46958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89</xdr:row>
      <xdr:rowOff>142885</xdr:rowOff>
    </xdr:from>
    <xdr:to>
      <xdr:col>13</xdr:col>
      <xdr:colOff>244370</xdr:colOff>
      <xdr:row>110</xdr:row>
      <xdr:rowOff>53903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35875" y="16236325"/>
          <a:ext cx="4178196" cy="37514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96</xdr:row>
      <xdr:rowOff>13</xdr:rowOff>
    </xdr:from>
    <xdr:to>
      <xdr:col>5</xdr:col>
      <xdr:colOff>57808</xdr:colOff>
      <xdr:row>111</xdr:row>
      <xdr:rowOff>152837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01700" y="17373613"/>
          <a:ext cx="5341009" cy="289602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113</xdr:row>
      <xdr:rowOff>161942</xdr:rowOff>
    </xdr:from>
    <xdr:to>
      <xdr:col>4</xdr:col>
      <xdr:colOff>1657350</xdr:colOff>
      <xdr:row>128</xdr:row>
      <xdr:rowOff>169725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49325" y="20644502"/>
          <a:ext cx="4924425" cy="275098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116</xdr:row>
      <xdr:rowOff>57167</xdr:rowOff>
    </xdr:from>
    <xdr:to>
      <xdr:col>16</xdr:col>
      <xdr:colOff>15239</xdr:colOff>
      <xdr:row>122</xdr:row>
      <xdr:rowOff>135756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470650" y="21088367"/>
          <a:ext cx="7133590" cy="117587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9"/>
  <sheetViews>
    <sheetView showGridLines="0" tabSelected="1" topLeftCell="A13" workbookViewId="0">
      <selection activeCell="L33" sqref="L33"/>
    </sheetView>
  </sheetViews>
  <sheetFormatPr defaultColWidth="8.85546875" defaultRowHeight="14.45" customHeight="1"/>
  <cols>
    <col min="1" max="1" width="11.85546875" style="1" customWidth="1"/>
    <col min="2" max="2" width="9.5703125" style="1" customWidth="1"/>
    <col min="3" max="3" width="8.85546875" style="1" customWidth="1"/>
    <col min="4" max="5" width="25.85546875" style="1" customWidth="1"/>
    <col min="6" max="18" width="8.85546875" style="1" customWidth="1"/>
    <col min="19" max="16384" width="8.85546875" style="1"/>
  </cols>
  <sheetData>
    <row r="1" spans="1:17" ht="14.45" customHeight="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ht="14.45" customHeight="1">
      <c r="A2" s="5" t="s">
        <v>6</v>
      </c>
      <c r="B2" s="6">
        <v>1.2250000000000001</v>
      </c>
      <c r="C2" s="7" t="s">
        <v>7</v>
      </c>
      <c r="D2" s="2" t="s">
        <v>8</v>
      </c>
      <c r="E2" s="2" t="s">
        <v>9</v>
      </c>
      <c r="F2" s="2" t="s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ht="14.45" customHeight="1">
      <c r="A3" s="5" t="s">
        <v>115</v>
      </c>
      <c r="B3" s="15">
        <v>1.7960000000000001E-5</v>
      </c>
      <c r="C3" s="7" t="s">
        <v>116</v>
      </c>
      <c r="D3" s="2" t="s">
        <v>117</v>
      </c>
      <c r="E3" s="2" t="s">
        <v>14</v>
      </c>
      <c r="F3" s="2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ht="14.45" customHeight="1">
      <c r="A4" s="5" t="s">
        <v>11</v>
      </c>
      <c r="B4" s="6">
        <v>9.81</v>
      </c>
      <c r="C4" s="7" t="s">
        <v>12</v>
      </c>
      <c r="D4" s="2" t="s">
        <v>13</v>
      </c>
      <c r="E4" s="2" t="s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ht="14.45" customHeight="1">
      <c r="A5" s="5" t="s">
        <v>15</v>
      </c>
      <c r="B5" s="6">
        <v>0.05</v>
      </c>
      <c r="C5" s="7" t="s">
        <v>16</v>
      </c>
      <c r="D5" s="2" t="s">
        <v>17</v>
      </c>
      <c r="E5" s="2" t="s">
        <v>18</v>
      </c>
      <c r="F5" s="2" t="s">
        <v>19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ht="14.45" customHeight="1">
      <c r="A6" s="5" t="s">
        <v>20</v>
      </c>
      <c r="B6" s="6">
        <v>0.08</v>
      </c>
      <c r="C6" s="7" t="s">
        <v>16</v>
      </c>
      <c r="D6" s="2" t="s">
        <v>21</v>
      </c>
      <c r="E6" s="2" t="s">
        <v>18</v>
      </c>
      <c r="F6" s="2" t="s">
        <v>22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ht="14.45" customHeight="1">
      <c r="A7" s="5" t="s">
        <v>23</v>
      </c>
      <c r="B7" s="8">
        <v>0.7</v>
      </c>
      <c r="C7" s="7" t="s">
        <v>16</v>
      </c>
      <c r="D7" s="2" t="s">
        <v>24</v>
      </c>
      <c r="E7" s="2" t="s">
        <v>25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ht="14.45" customHeight="1">
      <c r="A8" s="5" t="s">
        <v>26</v>
      </c>
      <c r="B8" s="8">
        <v>5</v>
      </c>
      <c r="C8" s="7" t="s">
        <v>16</v>
      </c>
      <c r="D8" s="2" t="s">
        <v>27</v>
      </c>
      <c r="E8" s="2" t="s">
        <v>28</v>
      </c>
      <c r="F8" s="2" t="s">
        <v>29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ht="14.45" customHeight="1">
      <c r="A9" s="5" t="s">
        <v>30</v>
      </c>
      <c r="B9" s="9" cm="1">
        <f t="array" ref="B9">1/(PI()*B7*B8)</f>
        <v>9.0945681766797334E-2</v>
      </c>
      <c r="C9" s="7" t="s">
        <v>16</v>
      </c>
      <c r="D9" s="2" t="s">
        <v>31</v>
      </c>
      <c r="E9" s="2" t="s">
        <v>32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ht="14.45" customHeight="1">
      <c r="A10" s="5" t="s">
        <v>33</v>
      </c>
      <c r="B10" s="6">
        <v>0.3</v>
      </c>
      <c r="C10" s="7" t="s">
        <v>16</v>
      </c>
      <c r="D10" s="2" t="s">
        <v>34</v>
      </c>
      <c r="E10" s="2" t="s">
        <v>35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ht="14.45" customHeight="1">
      <c r="A11" s="5" t="s">
        <v>36</v>
      </c>
      <c r="B11" s="6">
        <v>1.5</v>
      </c>
      <c r="C11" s="7" t="s">
        <v>16</v>
      </c>
      <c r="D11" s="2" t="s">
        <v>37</v>
      </c>
      <c r="E11" s="2" t="s">
        <v>38</v>
      </c>
      <c r="F11" s="2" t="s">
        <v>39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ht="14.45" customHeight="1">
      <c r="A12" s="5" t="s">
        <v>40</v>
      </c>
      <c r="B12" s="10" cm="1">
        <f t="array" ref="B12">B10</f>
        <v>0.3</v>
      </c>
      <c r="C12" s="7" t="s">
        <v>16</v>
      </c>
      <c r="D12" s="2" t="s">
        <v>41</v>
      </c>
      <c r="E12" s="2" t="s">
        <v>42</v>
      </c>
      <c r="F12" s="2" t="s">
        <v>43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ht="14.45" customHeight="1">
      <c r="A13" s="5" t="s">
        <v>44</v>
      </c>
      <c r="B13" s="11" cm="1">
        <f t="array" ref="B13">B11/B20^2</f>
        <v>1.2396694214876032</v>
      </c>
      <c r="C13" s="7" t="s">
        <v>16</v>
      </c>
      <c r="D13" s="2" t="s">
        <v>45</v>
      </c>
      <c r="E13" s="2" t="s">
        <v>46</v>
      </c>
      <c r="F13" s="2" t="s">
        <v>47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ht="14.45" customHeight="1">
      <c r="A14" s="5" t="s">
        <v>48</v>
      </c>
      <c r="B14" s="12">
        <v>0.04</v>
      </c>
      <c r="C14" s="7" t="s">
        <v>16</v>
      </c>
      <c r="D14" s="2" t="s">
        <v>49</v>
      </c>
      <c r="E14" s="2" t="s">
        <v>50</v>
      </c>
      <c r="F14" s="2" t="s">
        <v>51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ht="14.45" customHeight="1">
      <c r="A15" s="5" t="s">
        <v>52</v>
      </c>
      <c r="B15" s="9" cm="1">
        <f t="array" ref="B15">B14+B9*B10^2</f>
        <v>4.8185111359011761E-2</v>
      </c>
      <c r="C15" s="7" t="s">
        <v>16</v>
      </c>
      <c r="D15" s="2" t="s">
        <v>53</v>
      </c>
      <c r="E15" s="2" t="s">
        <v>54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ht="14.45" customHeight="1">
      <c r="A16" s="5" t="s">
        <v>55</v>
      </c>
      <c r="B16" s="9" cm="1">
        <f t="array" ref="B16">B14+B9*B12^2</f>
        <v>4.8185111359011761E-2</v>
      </c>
      <c r="C16" s="7" t="s">
        <v>16</v>
      </c>
      <c r="D16" s="2" t="s">
        <v>56</v>
      </c>
      <c r="E16" s="2" t="s">
        <v>57</v>
      </c>
      <c r="F16" s="2" t="s">
        <v>43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4.45" customHeight="1">
      <c r="A17" s="5" t="s">
        <v>58</v>
      </c>
      <c r="B17" s="9" cm="1">
        <f t="array" ref="B17">B16-B5*B12</f>
        <v>3.3185111359011761E-2</v>
      </c>
      <c r="C17" s="7" t="s">
        <v>16</v>
      </c>
      <c r="D17" s="2" t="s">
        <v>59</v>
      </c>
      <c r="E17" s="2" t="s">
        <v>60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4.45" customHeight="1">
      <c r="A18" s="5" t="s">
        <v>61</v>
      </c>
      <c r="B18" s="11" cm="1">
        <f t="array" ref="B18">B10/B15</f>
        <v>6.2259895544247374</v>
      </c>
      <c r="C18" s="7" t="s">
        <v>16</v>
      </c>
      <c r="D18" s="2" t="s">
        <v>62</v>
      </c>
      <c r="E18" s="4"/>
      <c r="F18" s="2" t="s">
        <v>63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4.45" customHeight="1">
      <c r="A19" s="5" t="s">
        <v>64</v>
      </c>
      <c r="B19" s="8">
        <v>10.5</v>
      </c>
      <c r="C19" s="7" t="s">
        <v>12</v>
      </c>
      <c r="D19" s="2" t="s">
        <v>65</v>
      </c>
      <c r="E19" s="2" t="s">
        <v>66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4.45" customHeight="1">
      <c r="A20" s="5" t="s">
        <v>67</v>
      </c>
      <c r="B20" s="13">
        <v>1.1000000000000001</v>
      </c>
      <c r="C20" s="7" t="s">
        <v>16</v>
      </c>
      <c r="D20" s="2" t="s">
        <v>68</v>
      </c>
      <c r="E20" s="2" t="s">
        <v>35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4.45" customHeight="1">
      <c r="A21" s="5" t="s">
        <v>69</v>
      </c>
      <c r="B21" s="11" cm="1">
        <f t="array" ref="B21">B20*B19</f>
        <v>11.55</v>
      </c>
      <c r="C21" s="7" t="s">
        <v>12</v>
      </c>
      <c r="D21" s="2" t="s">
        <v>70</v>
      </c>
      <c r="E21" s="2" t="s">
        <v>35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4.45" customHeight="1">
      <c r="A22" s="5" t="s">
        <v>71</v>
      </c>
      <c r="B22" s="11" cm="1">
        <f t="array" ref="B22">SQRT(B19^2*B11/B10)</f>
        <v>23.478713763747791</v>
      </c>
      <c r="C22" s="7" t="s">
        <v>12</v>
      </c>
      <c r="D22" s="2" t="s">
        <v>72</v>
      </c>
      <c r="E22" s="4"/>
      <c r="F22" s="2" t="s">
        <v>73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4.45" customHeight="1">
      <c r="A23" s="5" t="s">
        <v>74</v>
      </c>
      <c r="B23" s="11" cm="1">
        <f t="array" ref="B23">SQRT(B26*B4*SQRT(B25^2-1))</f>
        <v>14.810748414335091</v>
      </c>
      <c r="C23" s="7" t="s">
        <v>12</v>
      </c>
      <c r="D23" s="2" t="s">
        <v>75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4.45" customHeight="1">
      <c r="A24" s="5" t="s">
        <v>76</v>
      </c>
      <c r="B24" s="11" cm="1">
        <f t="array" ref="B24">B19*SQRT(B25)</f>
        <v>12.859821149611683</v>
      </c>
      <c r="C24" s="7" t="s">
        <v>12</v>
      </c>
      <c r="D24" s="2" t="s">
        <v>77</v>
      </c>
      <c r="E24" s="2" t="s">
        <v>78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ht="14.45" customHeight="1">
      <c r="A25" s="5" t="s">
        <v>79</v>
      </c>
      <c r="B25" s="6">
        <v>1.5</v>
      </c>
      <c r="C25" s="7" t="s">
        <v>16</v>
      </c>
      <c r="D25" s="2" t="s">
        <v>80</v>
      </c>
      <c r="E25" s="2" t="s">
        <v>81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ht="14.45" customHeight="1">
      <c r="A26" s="5" t="s">
        <v>82</v>
      </c>
      <c r="B26" s="6">
        <v>20</v>
      </c>
      <c r="C26" s="7" t="s">
        <v>83</v>
      </c>
      <c r="D26" s="2" t="s">
        <v>84</v>
      </c>
      <c r="E26" s="2" t="s">
        <v>78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ht="14.45" customHeight="1">
      <c r="A27" s="5" t="s">
        <v>85</v>
      </c>
      <c r="B27" s="11" cm="1">
        <f t="array" ref="B27">DEGREES(ACOS(1/B25))</f>
        <v>48.189685104221404</v>
      </c>
      <c r="C27" s="7" t="s">
        <v>86</v>
      </c>
      <c r="D27" s="2" t="s">
        <v>87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ht="14.45" customHeight="1">
      <c r="A28" s="5" t="s">
        <v>88</v>
      </c>
      <c r="B28" s="6">
        <v>0.75</v>
      </c>
      <c r="C28" s="7" t="s">
        <v>16</v>
      </c>
      <c r="D28" s="2" t="s">
        <v>89</v>
      </c>
      <c r="E28" s="2" t="s">
        <v>90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ht="14.45" customHeight="1">
      <c r="A29" s="5" t="s">
        <v>91</v>
      </c>
      <c r="B29" s="6">
        <v>0.75</v>
      </c>
      <c r="C29" s="7" t="s">
        <v>16</v>
      </c>
      <c r="D29" s="2" t="s">
        <v>92</v>
      </c>
      <c r="E29" s="2" t="s">
        <v>93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ht="14.45" customHeight="1">
      <c r="A30" s="5" t="s">
        <v>94</v>
      </c>
      <c r="B30" s="6">
        <v>0.45</v>
      </c>
      <c r="C30" s="7" t="s">
        <v>16</v>
      </c>
      <c r="D30" s="2" t="s">
        <v>95</v>
      </c>
      <c r="E30" s="2" t="s">
        <v>93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ht="14.45" customHeight="1">
      <c r="A31" s="5" t="s">
        <v>96</v>
      </c>
      <c r="B31" s="6">
        <v>30</v>
      </c>
      <c r="C31" s="7" t="s">
        <v>83</v>
      </c>
      <c r="D31" s="2" t="s">
        <v>97</v>
      </c>
      <c r="E31" s="2" t="s">
        <v>98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4.45" customHeight="1">
      <c r="A32" s="5" t="s">
        <v>99</v>
      </c>
      <c r="B32" s="6">
        <v>100</v>
      </c>
      <c r="C32" s="7" t="s">
        <v>83</v>
      </c>
      <c r="D32" s="2" t="s">
        <v>100</v>
      </c>
      <c r="E32" s="2" t="s">
        <v>101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ht="14.45" customHeight="1">
      <c r="A33" s="5" t="s">
        <v>102</v>
      </c>
      <c r="B33" s="11" cm="1">
        <f t="array" ref="B33">DEGREES(ATAN(30/100))</f>
        <v>16.699244233993621</v>
      </c>
      <c r="C33" s="7" t="s">
        <v>86</v>
      </c>
      <c r="D33" s="2" t="s">
        <v>103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ht="14.45" customHeight="1">
      <c r="A34" s="5" t="s">
        <v>104</v>
      </c>
      <c r="B34" s="8">
        <v>25</v>
      </c>
      <c r="C34" s="7" t="s">
        <v>83</v>
      </c>
      <c r="D34" s="2" t="s">
        <v>105</v>
      </c>
      <c r="E34" s="2" t="s">
        <v>106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ht="14.45" customHeight="1">
      <c r="A35" s="5" t="s">
        <v>107</v>
      </c>
      <c r="B35" s="6">
        <v>100</v>
      </c>
      <c r="C35" s="7" t="s">
        <v>108</v>
      </c>
      <c r="D35" s="2" t="s">
        <v>109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ht="14.45" customHeight="1">
      <c r="A36" s="5" t="s">
        <v>110</v>
      </c>
      <c r="B36" s="6">
        <v>7.0000000000000007E-2</v>
      </c>
      <c r="C36" s="7" t="s">
        <v>111</v>
      </c>
      <c r="D36" s="2" t="s">
        <v>112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ht="14.45" customHeight="1">
      <c r="A37" s="5" t="s">
        <v>113</v>
      </c>
      <c r="B37" s="14">
        <v>0.8</v>
      </c>
      <c r="C37" s="7" t="s">
        <v>16</v>
      </c>
      <c r="D37" s="2" t="s">
        <v>114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ht="14.45" customHeight="1">
      <c r="A38" s="4" t="s">
        <v>119</v>
      </c>
      <c r="B38" s="16">
        <v>4.45</v>
      </c>
      <c r="C38" s="4" t="s">
        <v>120</v>
      </c>
      <c r="D38" s="4" t="s">
        <v>121</v>
      </c>
      <c r="E38" s="19" t="s">
        <v>127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ht="14.45" customHeight="1">
      <c r="A39" s="4" t="s">
        <v>118</v>
      </c>
      <c r="B39" s="17">
        <f>B4*B38</f>
        <v>43.654500000000006</v>
      </c>
      <c r="C39" s="4" t="s">
        <v>122</v>
      </c>
      <c r="D39" s="4" t="s">
        <v>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ht="14.45" customHeight="1">
      <c r="A40" s="4" t="s">
        <v>124</v>
      </c>
      <c r="B40" s="18">
        <f>B39/B35</f>
        <v>0.43654500000000007</v>
      </c>
      <c r="C40" s="4" t="s">
        <v>125</v>
      </c>
      <c r="D40" s="4" t="s">
        <v>126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ht="14.45" customHeight="1">
      <c r="A41" s="19"/>
      <c r="B41" s="4"/>
      <c r="C41" s="19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ht="14.4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ht="14.4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ht="14.4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ht="14.4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ht="14.4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ht="14.4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ht="14.4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ht="14.4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ht="14.4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ht="14.4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ht="14.4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ht="14.4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ht="14.4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ht="14.4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ht="14.4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ht="14.4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ht="14.4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ht="14.4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ht="14.4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ht="14.4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ht="14.4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ht="14.4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ht="14.4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ht="14.4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ht="14.4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ht="14.4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ht="14.4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ht="14.4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ht="14.4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ht="14.4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ht="14.4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ht="14.4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ht="14.4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ht="14.4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ht="14.4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ht="14.4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ht="14.4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ht="14.4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ht="14.4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ht="14.4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ht="14.4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ht="14.4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ht="14.4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ht="14.4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ht="14.4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ht="14.4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ht="14.4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ht="14.4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ht="14.4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ht="14.4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ht="14.4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ht="14.4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ht="14.4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ht="14.4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ht="14.4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ht="14.4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ht="14.4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ht="14.4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ht="14.4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ht="14.4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ht="14.4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ht="14.4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ht="14.4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ht="14.4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ht="14.4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ht="14.4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ht="14.4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ht="14.4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ht="14.4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ht="14.4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ht="14.4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ht="14.4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ht="14.4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ht="14.4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ht="14.4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ht="14.4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ht="14.4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ht="14.4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ht="14.4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ht="14.4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ht="14.4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ht="14.4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ht="14.4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ht="14.4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ht="14.4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ht="14.4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ht="14.4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ht="14.4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Thomas Nery</cp:lastModifiedBy>
  <dcterms:modified xsi:type="dcterms:W3CDTF">2026-09-09T16:11:11Z</dcterms:modified>
</cp:coreProperties>
</file>