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aa8977d2236823/Documents/GitHub/451-DBF-Team01/"/>
    </mc:Choice>
  </mc:AlternateContent>
  <xr:revisionPtr revIDLastSave="2" documentId="13_ncr:1_{2E190E2B-2CFE-4A75-8856-7C36167B196A}" xr6:coauthVersionLast="47" xr6:coauthVersionMax="47" xr10:uidLastSave="{945B54CD-A703-4CFA-8E7A-F7C9A416B384}"/>
  <bookViews>
    <workbookView minimized="1" xWindow="-26430" yWindow="840" windowWidth="17280" windowHeight="9960" activeTab="1" xr2:uid="{00000000-000D-0000-FFFF-FFFF00000000}"/>
  </bookViews>
  <sheets>
    <sheet name="Inputs" sheetId="1" r:id="rId1"/>
    <sheet name="Outputs" sheetId="4" r:id="rId2"/>
    <sheet name="MassBudget" sheetId="3" r:id="rId3"/>
    <sheet name="Hinge Moments" sheetId="2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2" l="1"/>
  <c r="C32" i="2"/>
  <c r="B32" i="2"/>
  <c r="D25" i="2"/>
  <c r="C25" i="2"/>
  <c r="D23" i="2"/>
  <c r="B23" i="2"/>
  <c r="D22" i="2"/>
  <c r="C22" i="2"/>
  <c r="B22" i="2"/>
  <c r="D17" i="2"/>
  <c r="D18" i="2" s="1"/>
  <c r="C17" i="2"/>
  <c r="C18" i="2" s="1"/>
  <c r="B17" i="2"/>
  <c r="B18" i="2" s="1"/>
  <c r="D15" i="2"/>
  <c r="C15" i="2"/>
  <c r="B15" i="2"/>
  <c r="D14" i="2"/>
  <c r="C14" i="2"/>
  <c r="B14" i="2"/>
  <c r="D12" i="2"/>
  <c r="C12" i="2"/>
  <c r="B12" i="2"/>
  <c r="B25" i="2" s="1"/>
  <c r="D9" i="2"/>
  <c r="C9" i="2"/>
  <c r="C23" i="2" s="1"/>
  <c r="B9" i="2"/>
  <c r="B8" i="2"/>
  <c r="D6" i="2"/>
  <c r="D7" i="2" s="1"/>
  <c r="D26" i="2" s="1"/>
  <c r="C6" i="2"/>
  <c r="C7" i="2" s="1"/>
  <c r="C26" i="2" s="1"/>
  <c r="B6" i="2"/>
  <c r="B5" i="2"/>
  <c r="B7" i="2" s="1"/>
  <c r="B26" i="2" s="1"/>
  <c r="C136" i="1"/>
  <c r="C125" i="1"/>
  <c r="C91" i="1"/>
  <c r="D19" i="2" l="1"/>
  <c r="D24" i="2" s="1"/>
  <c r="D27" i="2" s="1"/>
  <c r="D28" i="2" s="1"/>
  <c r="D29" i="2" s="1"/>
  <c r="D20" i="2"/>
  <c r="C19" i="2"/>
  <c r="C20" i="2"/>
  <c r="B19" i="2"/>
  <c r="B24" i="2" s="1"/>
  <c r="B27" i="2" s="1"/>
  <c r="B28" i="2" s="1"/>
  <c r="B29" i="2" s="1"/>
  <c r="B20" i="2"/>
  <c r="C24" i="2" l="1"/>
  <c r="C27" i="2" s="1"/>
  <c r="C28" i="2" s="1"/>
  <c r="C29" i="2" s="1"/>
</calcChain>
</file>

<file path=xl/sharedStrings.xml><?xml version="1.0" encoding="utf-8"?>
<sst xmlns="http://schemas.openxmlformats.org/spreadsheetml/2006/main" count="1081" uniqueCount="527">
  <si>
    <t>Parameter</t>
  </si>
  <si>
    <t>Subclass</t>
  </si>
  <si>
    <t>Value</t>
  </si>
  <si>
    <t>Units</t>
  </si>
  <si>
    <t>Description</t>
  </si>
  <si>
    <t>Notes</t>
  </si>
  <si>
    <t>DqA_wheel</t>
  </si>
  <si>
    <t>aero</t>
  </si>
  <si>
    <t>-</t>
  </si>
  <si>
    <t>Wheel drag per frontal area (D/q/A)</t>
  </si>
  <si>
    <t>DqA_strut</t>
  </si>
  <si>
    <t>Strut drag per frontal area (D/q/A)</t>
  </si>
  <si>
    <t>CD_0_misc_factor</t>
  </si>
  <si>
    <t>Misc. drag as fraction of component CD_0</t>
  </si>
  <si>
    <t>CL_max</t>
  </si>
  <si>
    <t>Max lift coefficient (stall)</t>
  </si>
  <si>
    <t>CL_C</t>
  </si>
  <si>
    <t>Design cruise lift coefficient</t>
  </si>
  <si>
    <t>CL_0</t>
  </si>
  <si>
    <t>Lift coefficient at zero AoA</t>
  </si>
  <si>
    <t>CM_ac_w</t>
  </si>
  <si>
    <t>Wing pitching moment about AC</t>
  </si>
  <si>
    <t>Airfoil_Alpha_Stall</t>
  </si>
  <si>
    <t>deg</t>
  </si>
  <si>
    <t>Airfoil stall angle</t>
  </si>
  <si>
    <t>e_t</t>
  </si>
  <si>
    <t>Oswald efficiency, horizontal tail</t>
  </si>
  <si>
    <t>crosswind_ratio</t>
  </si>
  <si>
    <t>roll_rate_target_dps</t>
  </si>
  <si>
    <t>deg/s</t>
  </si>
  <si>
    <t>Target roll rate</t>
  </si>
  <si>
    <t>CM_EquivalentRotate</t>
  </si>
  <si>
    <t>Extra pitch moment for takeoff rotation</t>
  </si>
  <si>
    <t>Q_wing</t>
  </si>
  <si>
    <t>Interference factor, wing</t>
  </si>
  <si>
    <t>Q_hstab</t>
  </si>
  <si>
    <t>Interference factor, horizontal tail</t>
  </si>
  <si>
    <t>Q_vstab</t>
  </si>
  <si>
    <t>Interference factor, vertical tail</t>
  </si>
  <si>
    <t>S_wet_factor</t>
  </si>
  <si>
    <t>Wetted area per side / planform area</t>
  </si>
  <si>
    <t>g</t>
  </si>
  <si>
    <t>env</t>
  </si>
  <si>
    <t>m/s^2</t>
  </si>
  <si>
    <t>Gravitational acceleration</t>
  </si>
  <si>
    <t>rho</t>
  </si>
  <si>
    <t>kg/m^3</t>
  </si>
  <si>
    <t>Air density (sea level)</t>
  </si>
  <si>
    <t>visc</t>
  </si>
  <si>
    <t>Pa-s</t>
  </si>
  <si>
    <t>Air dynamic viscosity</t>
  </si>
  <si>
    <t>mu_TO</t>
  </si>
  <si>
    <t>Takeoff rolling friction coefficient</t>
  </si>
  <si>
    <t>mu_L</t>
  </si>
  <si>
    <t>Landing friction coefficient</t>
  </si>
  <si>
    <t>SM</t>
  </si>
  <si>
    <t>geometry</t>
  </si>
  <si>
    <t>Design static margin (fraction of MAC)</t>
  </si>
  <si>
    <t>wingspan</t>
  </si>
  <si>
    <t>m</t>
  </si>
  <si>
    <t>Wing span</t>
  </si>
  <si>
    <t>width_fuselage</t>
  </si>
  <si>
    <t>Fuselage width</t>
  </si>
  <si>
    <t>len_fuselage</t>
  </si>
  <si>
    <t>Fuselage length</t>
  </si>
  <si>
    <t>S_wet_fuselage</t>
  </si>
  <si>
    <t>m^2</t>
  </si>
  <si>
    <t>Fuselage wetted area</t>
  </si>
  <si>
    <t>tc_wing</t>
  </si>
  <si>
    <t>Wing airfoil max thickness (SD7062)</t>
  </si>
  <si>
    <t>xcm_wing</t>
  </si>
  <si>
    <t>Wing airfoil max-thickness location</t>
  </si>
  <si>
    <t>tc_hstab</t>
  </si>
  <si>
    <t>H-stab airfoil max thickness (NACA 0010)</t>
  </si>
  <si>
    <t>xcm_hstab</t>
  </si>
  <si>
    <t>H-stab airfoil max-thickness location</t>
  </si>
  <si>
    <t>AR_hstab</t>
  </si>
  <si>
    <t>H-stab aspect ratio</t>
  </si>
  <si>
    <t>AR_vstab</t>
  </si>
  <si>
    <t>Aspect ratio per vertical fin</t>
  </si>
  <si>
    <t>tc_vstab</t>
  </si>
  <si>
    <t>Fin airfoil max thickness (NACA 0010)</t>
  </si>
  <si>
    <t>xcm_vstab</t>
  </si>
  <si>
    <t>Fin airfoil max-thickness location</t>
  </si>
  <si>
    <t>main_wheel_dia</t>
  </si>
  <si>
    <t>Main wheel diameter</t>
  </si>
  <si>
    <t>main_wheel_width</t>
  </si>
  <si>
    <t>Main wheel width</t>
  </si>
  <si>
    <t>main_gear_len</t>
  </si>
  <si>
    <t>main_strut_dia</t>
  </si>
  <si>
    <t>tail_wheel_dia</t>
  </si>
  <si>
    <t>Tail wheel diameter</t>
  </si>
  <si>
    <t>tail_wheel_width</t>
  </si>
  <si>
    <t>Tail wheel width</t>
  </si>
  <si>
    <t>tail_gear_len</t>
  </si>
  <si>
    <t>Tail gear strut length</t>
  </si>
  <si>
    <t>tail_strut_dia</t>
  </si>
  <si>
    <t>Tail gear strut diameter</t>
  </si>
  <si>
    <t>V_v</t>
  </si>
  <si>
    <t>--</t>
  </si>
  <si>
    <t>Vertical tail volume coefficient</t>
  </si>
  <si>
    <t>df</t>
  </si>
  <si>
    <t>Fuselage depth at wing</t>
  </si>
  <si>
    <t>zw</t>
  </si>
  <si>
    <t>Wing root height above fuselage centerline</t>
  </si>
  <si>
    <t>x_ac</t>
  </si>
  <si>
    <t>Wing AC location (fraction of MAC)</t>
  </si>
  <si>
    <t>l_t</t>
  </si>
  <si>
    <t>Wing AC to tail AC distance</t>
  </si>
  <si>
    <t>St_S</t>
  </si>
  <si>
    <t>H-stab area / wing area</t>
  </si>
  <si>
    <t>kappa</t>
  </si>
  <si>
    <t>Downwash gradient factor</t>
  </si>
  <si>
    <t>n_vfins</t>
  </si>
  <si>
    <t>Number of vertical fins</t>
  </si>
  <si>
    <t>E</t>
  </si>
  <si>
    <t>Elevator chord fraction</t>
  </si>
  <si>
    <t>delta_e_limit_deg</t>
  </si>
  <si>
    <t>Max elevator deflection</t>
  </si>
  <si>
    <t>E_r</t>
  </si>
  <si>
    <t>Rudder chord fraction</t>
  </si>
  <si>
    <t>delta_r_limit</t>
  </si>
  <si>
    <t>Max rudder deflection</t>
  </si>
  <si>
    <t>E_a</t>
  </si>
  <si>
    <t>Aileron chord fraction</t>
  </si>
  <si>
    <t>y1_frac</t>
  </si>
  <si>
    <t>Aileron inboard edge (fraction of semispan)</t>
  </si>
  <si>
    <t>y2_frac</t>
  </si>
  <si>
    <t>Aileron outboard edge (fraction of semispan)</t>
  </si>
  <si>
    <t>delta_a_limit</t>
  </si>
  <si>
    <t>Max aileron deflection</t>
  </si>
  <si>
    <t>Gamma_dihedral_deg</t>
  </si>
  <si>
    <t>Wing dihedral angle</t>
  </si>
  <si>
    <t>V_S</t>
  </si>
  <si>
    <t>performance</t>
  </si>
  <si>
    <t>m/s</t>
  </si>
  <si>
    <t>Stall speed</t>
  </si>
  <si>
    <t>mult_V_TO</t>
  </si>
  <si>
    <t>Takeoff speed multiplier</t>
  </si>
  <si>
    <t>phi_C</t>
  </si>
  <si>
    <t>Cruise throttle setting</t>
  </si>
  <si>
    <t>n</t>
  </si>
  <si>
    <t>Max load factor</t>
  </si>
  <si>
    <t>R_M</t>
  </si>
  <si>
    <t>climb_alt</t>
  </si>
  <si>
    <t>Mission altitude</t>
  </si>
  <si>
    <t>climb_dist</t>
  </si>
  <si>
    <t>Ground distance to climb to altitude</t>
  </si>
  <si>
    <t>S_TO</t>
  </si>
  <si>
    <t>Takeoff distance</t>
  </si>
  <si>
    <t>lap_length</t>
  </si>
  <si>
    <t>Course length per lap</t>
  </si>
  <si>
    <t>W_S_design</t>
  </si>
  <si>
    <t>N/m^2</t>
  </si>
  <si>
    <t>Design wing loading</t>
  </si>
  <si>
    <t>W_P_design</t>
  </si>
  <si>
    <t>N/W</t>
  </si>
  <si>
    <t>Design power loading</t>
  </si>
  <si>
    <t>W_e_frac</t>
  </si>
  <si>
    <t>Empty weight fraction</t>
  </si>
  <si>
    <t>W_pay</t>
  </si>
  <si>
    <t>kg</t>
  </si>
  <si>
    <t>Payload mass</t>
  </si>
  <si>
    <t>warmupN</t>
  </si>
  <si>
    <t>Warm-up energy as multiple of takeoff energy</t>
  </si>
  <si>
    <t>MTOM</t>
  </si>
  <si>
    <t>Takeoff mass</t>
  </si>
  <si>
    <t>eta_p_C</t>
  </si>
  <si>
    <t>prop</t>
  </si>
  <si>
    <t>Propeller efficiency, cruise</t>
  </si>
  <si>
    <t>eta_p_TO</t>
  </si>
  <si>
    <t>Propeller efficiency, takeoff</t>
  </si>
  <si>
    <t>n_motors</t>
  </si>
  <si>
    <t>Number of motors</t>
  </si>
  <si>
    <t>eta_m</t>
  </si>
  <si>
    <t>Motor efficiency</t>
  </si>
  <si>
    <t>eta_ESC</t>
  </si>
  <si>
    <t>ESC efficiency</t>
  </si>
  <si>
    <t>Kv</t>
  </si>
  <si>
    <t>RPM/V</t>
  </si>
  <si>
    <t>Motor velocity constant</t>
  </si>
  <si>
    <t>I0</t>
  </si>
  <si>
    <t>A</t>
  </si>
  <si>
    <t>Motor no-load current</t>
  </si>
  <si>
    <t>R_motor</t>
  </si>
  <si>
    <t>Ohm</t>
  </si>
  <si>
    <t>Motor winding resistance</t>
  </si>
  <si>
    <t>V_batt</t>
  </si>
  <si>
    <t>V</t>
  </si>
  <si>
    <t>prop_file</t>
  </si>
  <si>
    <t>APC propeller data file</t>
  </si>
  <si>
    <t>rho_battery</t>
  </si>
  <si>
    <t>J/kg</t>
  </si>
  <si>
    <t>Battery specific energy</t>
  </si>
  <si>
    <t>useableCapacity</t>
  </si>
  <si>
    <t>Usable fraction of battery capacity</t>
  </si>
  <si>
    <t>temp_derate</t>
  </si>
  <si>
    <t>Battery temperature derating</t>
  </si>
  <si>
    <t>Min turn radius</t>
  </si>
  <si>
    <t>R_req</t>
  </si>
  <si>
    <t>Required turn radius</t>
  </si>
  <si>
    <t>Crosswind ratio</t>
  </si>
  <si>
    <t>PER3_10x7E.txt</t>
  </si>
  <si>
    <t>CM_0_Wing</t>
  </si>
  <si>
    <t>Battery voltage (4S)</t>
  </si>
  <si>
    <t>Control-Surface Hinge Moments - Thin-Airfoil (Glauert) Theory</t>
  </si>
  <si>
    <t>PARAMETER</t>
  </si>
  <si>
    <t>AILERON</t>
  </si>
  <si>
    <t>ELEVATOR</t>
  </si>
  <si>
    <t>RUDDER</t>
  </si>
  <si>
    <t>Reference (root) chord, c  (m)</t>
  </si>
  <si>
    <t>Ch_alpha, Ch_delta from closed-form thin-airfoil (Glauert) flap theory, verified</t>
  </si>
  <si>
    <t>Control-surface chord fraction, Ef = cf/c</t>
  </si>
  <si>
    <t>against an independent numerical vortex-panel solution to 4 sig. figs.</t>
  </si>
  <si>
    <t>Control-surface chord, cf = Ef*c  (m)</t>
  </si>
  <si>
    <t>Control-surface span, bf  (m)</t>
  </si>
  <si>
    <t>Max deflection, delta_max  (deg)</t>
  </si>
  <si>
    <t xml:space="preserve"> - alpha assumption per surface defaults to 0 deg (pure control deflection case);</t>
  </si>
  <si>
    <t>Local AoA assumed for this case, alpha  (deg)</t>
  </si>
  <si>
    <t xml:space="preserve">   raise it for combined maneuver cases (e.g. elevator at high AoA).</t>
  </si>
  <si>
    <t>Design airspeed for this case, V  (m/s)</t>
  </si>
  <si>
    <t>Air density, rho  (kg/m^3)</t>
  </si>
  <si>
    <t>Theory is inviscid/2-D and typically over-predicts real hinge moment ~2x --</t>
  </si>
  <si>
    <t>Extra servo safety margin factor  (x)</t>
  </si>
  <si>
    <t>conservative (safe) for servo torque sizing, but state that factor in the report.</t>
  </si>
  <si>
    <t>THIN-AIRFOIL DERIVATION</t>
  </si>
  <si>
    <t>theta_f = ACOS(2*Ef-1)  (rad)</t>
  </si>
  <si>
    <t>X = pi - theta_f</t>
  </si>
  <si>
    <t>Ch_alpha  (floating tendency, per rad)</t>
  </si>
  <si>
    <t>Ch_delta  (restoring tendency, per rad)</t>
  </si>
  <si>
    <t>RESULTING HINGE MOMENT (worst case: alpha &amp; delta_max together)</t>
  </si>
  <si>
    <t>alpha (rad)</t>
  </si>
  <si>
    <t>delta_max (rad)</t>
  </si>
  <si>
    <t>Ch = Ch_alpha*alpha + Ch_delta*delta_max</t>
  </si>
  <si>
    <t>Dynamic pressure, q = 0.5*rho*V^2  (Pa)</t>
  </si>
  <si>
    <t>Control-surface area, Sf = cf*bf  (m^2)</t>
  </si>
  <si>
    <t>Hinge moment, H = Ch*q*Sf*cf  (N*m)</t>
  </si>
  <si>
    <t xml:space="preserve">  ... with safety margin, |H|*margin  (N*m)</t>
  </si>
  <si>
    <t xml:space="preserve">  ... in servo units  (oz-in)</t>
  </si>
  <si>
    <t>COMPARE TO XFLR5 (paste your sweep results here)</t>
  </si>
  <si>
    <t>XFLR5 Ch at same alpha, delta_max</t>
  </si>
  <si>
    <t>Ratio: thin-airfoil / XFLR5</t>
  </si>
  <si>
    <t>Geometry linked live from the Sheet1 tab. Inviscid 2-D theory typically over-predicts the real hinge moment by ~2x - conservative for servo sizing.</t>
  </si>
  <si>
    <t>Yellow cells are NOT linked to Sheet1 -- check/edit them:</t>
  </si>
  <si>
    <t xml:space="preserve"> - c_hstab, c_vstab, span_hstab, span_vstab, and V_C (cruise speed) are not defined in Sheet1; literal values carried over from the old sheet -- verify/update manually.</t>
  </si>
  <si>
    <t xml:space="preserve"> - V_design defaults to V_C (cruise, not in Sheet1); consider a higher design/dive speed if known.</t>
  </si>
  <si>
    <t>linkage_ratio_aileron</t>
  </si>
  <si>
    <t>controls</t>
  </si>
  <si>
    <t>Aileron servo-arm / control-horn mechanical advantage</t>
  </si>
  <si>
    <t>linkage_ratio_elevator</t>
  </si>
  <si>
    <t>Elevator servo-arm / control-horn mechanical advantage</t>
  </si>
  <si>
    <t>linkage_ratio_rudder</t>
  </si>
  <si>
    <t>Rudder servo-arm / control-horn mechanical advantage</t>
  </si>
  <si>
    <t>linkage_efficiency</t>
  </si>
  <si>
    <t>Pushrod/linkage mechanical efficiency (friction losses); applies to all three surfaces</t>
  </si>
  <si>
    <t>Linkage ratio, servo arm / control horn (mechanical advantage)</t>
  </si>
  <si>
    <t>Linkage efficiency, eta_linkage (friction losses)</t>
  </si>
  <si>
    <t>Servo torque scales by (linkage ratio / efficiency): a longer servo arm vs. horn cuts required torque;</t>
  </si>
  <si>
    <t xml:space="preserve">   friction losses in the linkage mean the servo must output more torque than the ideal case.</t>
  </si>
  <si>
    <t>V_servo_rail</t>
  </si>
  <si>
    <t>Servo rail (BEC output) voltage used to evaluate torque at the actual operating voltage -- matches the MG90S stall-torque rating quoted at 5.5V</t>
  </si>
  <si>
    <t>CL_max_neg</t>
  </si>
  <si>
    <t>x_spar</t>
  </si>
  <si>
    <t>structures</t>
  </si>
  <si>
    <t>eta_h</t>
  </si>
  <si>
    <t>eta_v</t>
  </si>
  <si>
    <t>CL_max_tail</t>
  </si>
  <si>
    <t>D_fus_tail</t>
  </si>
  <si>
    <t>x_LE_wing</t>
  </si>
  <si>
    <t>sink_rate</t>
  </si>
  <si>
    <t>gear_stiffness</t>
  </si>
  <si>
    <t>N/m</t>
  </si>
  <si>
    <t>Component</t>
  </si>
  <si>
    <t>Mass_g</t>
  </si>
  <si>
    <t>Propeller+spinner</t>
  </si>
  <si>
    <t>Motor</t>
  </si>
  <si>
    <t>Motor mount/firewall</t>
  </si>
  <si>
    <t>ESC</t>
  </si>
  <si>
    <t>Battery</t>
  </si>
  <si>
    <t>Flight controller/avionics</t>
  </si>
  <si>
    <t>Wiring + connectors</t>
  </si>
  <si>
    <t>Misc electronics</t>
  </si>
  <si>
    <t>Servo, aileron 1</t>
  </si>
  <si>
    <t>Servo, aileron 2</t>
  </si>
  <si>
    <t>Payload cube</t>
  </si>
  <si>
    <t>Wing (spar+foam)</t>
  </si>
  <si>
    <t>Main gear (pair)</t>
  </si>
  <si>
    <t>Fuselage (keel+shell)</t>
  </si>
  <si>
    <t>Servo, elevator</t>
  </si>
  <si>
    <t>Servo, rudder</t>
  </si>
  <si>
    <t>V-tail (spar+foam)</t>
  </si>
  <si>
    <t>Horizontal tail (spar+foam)</t>
  </si>
  <si>
    <t>X_m</t>
  </si>
  <si>
    <t>Negative (inverted-flight) max lift coefficient</t>
  </si>
  <si>
    <t>Wing spar/shear-center location, fraction of chord aft of LE</t>
  </si>
  <si>
    <t>Horizontal tail dynamic-pressure ratio q_tail/q_freestream</t>
  </si>
  <si>
    <t>Vertical tail (fin) dynamic-pressure ratio</t>
  </si>
  <si>
    <t>Max lift coefficient of the tail's symmetric section (NACA 0010)</t>
  </si>
  <si>
    <t>Fuselage/tailboom depth at the fin root</t>
  </si>
  <si>
    <t>Fuselage station of the wing's MAC leading edge, from the nose</t>
  </si>
  <si>
    <t>Design sink rate for the landing load factor derivation</t>
  </si>
  <si>
    <t>Z_m</t>
  </si>
  <si>
    <t>Tail wheel</t>
  </si>
  <si>
    <t>gear_track</t>
  </si>
  <si>
    <t>Lateral distance between the two main wheels (track), ASSUMPTION -- needed for the overturn-angle check, not previously modelled (~20% of wingspan)</t>
  </si>
  <si>
    <t>P_limit_RFP</t>
  </si>
  <si>
    <t>P_motor_rated</t>
  </si>
  <si>
    <t>I_motor_limit</t>
  </si>
  <si>
    <t>V_S_landing_limit</t>
  </si>
  <si>
    <t>W</t>
  </si>
  <si>
    <t>RFP Max Power Requirement</t>
  </si>
  <si>
    <t>Main landing gear vertical stiffness (both legs), value makes load factor ~ n = 10</t>
  </si>
  <si>
    <t>COMPUTED each run by MaxPayloadSweep.m = 1.25x the baseline self-consistent stall speed; In line with other aircraft of this size.</t>
  </si>
  <si>
    <t>CL_TO</t>
  </si>
  <si>
    <t>CL_R</t>
  </si>
  <si>
    <t>e_wing</t>
  </si>
  <si>
    <t>K_wing</t>
  </si>
  <si>
    <t>K_hstab</t>
  </si>
  <si>
    <t>CD_0</t>
  </si>
  <si>
    <t>CD_C</t>
  </si>
  <si>
    <t>CD_TO</t>
  </si>
  <si>
    <t>CD_G</t>
  </si>
  <si>
    <t>L_D_C</t>
  </si>
  <si>
    <t>L_D_max</t>
  </si>
  <si>
    <t>S_wing</t>
  </si>
  <si>
    <t>c_wing</t>
  </si>
  <si>
    <t>AR</t>
  </si>
  <si>
    <t>S_hstab</t>
  </si>
  <si>
    <t>span_hstab</t>
  </si>
  <si>
    <t>c_hstab</t>
  </si>
  <si>
    <t>V_H</t>
  </si>
  <si>
    <t>S_v</t>
  </si>
  <si>
    <t>S_fin</t>
  </si>
  <si>
    <t>span_vstab</t>
  </si>
  <si>
    <t>c_vstab</t>
  </si>
  <si>
    <t>V_C</t>
  </si>
  <si>
    <t>V_TO</t>
  </si>
  <si>
    <t>V_M</t>
  </si>
  <si>
    <t>V_S_M</t>
  </si>
  <si>
    <t>bank_angle</t>
  </si>
  <si>
    <t>gamma</t>
  </si>
  <si>
    <t>MTOW</t>
  </si>
  <si>
    <t>totBatteryMass_kg</t>
  </si>
  <si>
    <t>totBatteryEnergy_J</t>
  </si>
  <si>
    <t>usableBatteryEnergy_J</t>
  </si>
  <si>
    <t>N</t>
  </si>
  <si>
    <t>Takeoff CL before rotation, no flaps, same as cruise</t>
  </si>
  <si>
    <t>Rotation CL</t>
  </si>
  <si>
    <t>Oswald efficiency, Sadraey eqn 5.27a</t>
  </si>
  <si>
    <t>Induced drag factor</t>
  </si>
  <si>
    <t>H-stab induced drag factor</t>
  </si>
  <si>
    <t>Cruise CD</t>
  </si>
  <si>
    <t>Takeoff CD</t>
  </si>
  <si>
    <t>Ground roll CD, Sadraey eqn 4.67a</t>
  </si>
  <si>
    <t>L/D at cruise</t>
  </si>
  <si>
    <t>Max L/D of parabolic polar</t>
  </si>
  <si>
    <t>Wing area from design wing loading</t>
  </si>
  <si>
    <t>Wing chord, area excludes fuselage section</t>
  </si>
  <si>
    <t>Wing aspect ratio</t>
  </si>
  <si>
    <t>H-stab area from area ratio</t>
  </si>
  <si>
    <t>H-stab span</t>
  </si>
  <si>
    <t>H-stab chord</t>
  </si>
  <si>
    <t>Horizontal tail volume coefficient</t>
  </si>
  <si>
    <t>Total fin area from volume coefficient, fin arm = l_t</t>
  </si>
  <si>
    <t>Area per fin</t>
  </si>
  <si>
    <t>Fin span</t>
  </si>
  <si>
    <t>Fin chord</t>
  </si>
  <si>
    <t>Cruise speed from design CL_C</t>
  </si>
  <si>
    <t>Takeoff speed</t>
  </si>
  <si>
    <t>Maneuver speed for turn radius R_M</t>
  </si>
  <si>
    <t>Stall speed at load factor n</t>
  </si>
  <si>
    <t>Bank angle at load factor n</t>
  </si>
  <si>
    <t>Climb angle</t>
  </si>
  <si>
    <t>Takeoff weight</t>
  </si>
  <si>
    <t>Source</t>
  </si>
  <si>
    <t>Calculated</t>
  </si>
  <si>
    <t>Overwritten input (Sheet1 value: 6)</t>
  </si>
  <si>
    <t>COMPUTED each run by MaxPayloadSweep.m = 1.25x the baseline self-consistent stall speed -- not read back in as an input, edit LANDING_SPEED_RATIO in that script instead.</t>
  </si>
  <si>
    <t>CL_Alpha_Tail</t>
  </si>
  <si>
    <t>CL_Alpha_Wing</t>
  </si>
  <si>
    <t>de_da</t>
  </si>
  <si>
    <t>CL_Alpha</t>
  </si>
  <si>
    <t>CM_0</t>
  </si>
  <si>
    <t>tau_e</t>
  </si>
  <si>
    <t>tau_a</t>
  </si>
  <si>
    <t>CL_Alpha_VT</t>
  </si>
  <si>
    <t>tau_r</t>
  </si>
  <si>
    <t>Cn_beta_VT</t>
  </si>
  <si>
    <t>x_cg_fwd</t>
  </si>
  <si>
    <t>x_cg_aft</t>
  </si>
  <si>
    <t>x_n</t>
  </si>
  <si>
    <t>x_cg_design</t>
  </si>
  <si>
    <t>V_max_level</t>
  </si>
  <si>
    <t>T_static_design</t>
  </si>
  <si>
    <t>n_limit_pos</t>
  </si>
  <si>
    <t>n_limit_neg</t>
  </si>
  <si>
    <t>n_ult_pos</t>
  </si>
  <si>
    <t>n_ult_neg</t>
  </si>
  <si>
    <t>V_A</t>
  </si>
  <si>
    <t>V_NO</t>
  </si>
  <si>
    <t>V_NE</t>
  </si>
  <si>
    <t>V_D</t>
  </si>
  <si>
    <t>V_tailUp</t>
  </si>
  <si>
    <t>wing_M_driving</t>
  </si>
  <si>
    <t>wing_M_driving_location</t>
  </si>
  <si>
    <t>wing_governing_case</t>
  </si>
  <si>
    <t>wing_V_driving</t>
  </si>
  <si>
    <t>wing_V_driving_location</t>
  </si>
  <si>
    <t>wing_T_driving</t>
  </si>
  <si>
    <t>wing_T_driving_location</t>
  </si>
  <si>
    <t>horizontal_tail_M_root</t>
  </si>
  <si>
    <t>horizontal_tail_T_root</t>
  </si>
  <si>
    <t>fin_M_root</t>
  </si>
  <si>
    <t>tailcone_T</t>
  </si>
  <si>
    <t>tailcone_Ml</t>
  </si>
  <si>
    <t>fuselage_M_envelope_max</t>
  </si>
  <si>
    <t>fuselage_M_envelope_station</t>
  </si>
  <si>
    <t>fuselage_governing_case</t>
  </si>
  <si>
    <t>fuselage_V_envelope_max</t>
  </si>
  <si>
    <t>fuselage_V_envelope_station</t>
  </si>
  <si>
    <t>fuselage_governing_case_V</t>
  </si>
  <si>
    <t>landing_n_L</t>
  </si>
  <si>
    <t>landing_F_main</t>
  </si>
  <si>
    <t>landing_F_tailwheel</t>
  </si>
  <si>
    <t>x_cg_abs</t>
  </si>
  <si>
    <t>mass_table_MTOM</t>
  </si>
  <si>
    <t>mass_table_MTOW</t>
  </si>
  <si>
    <t>alpha_tf_deg</t>
  </si>
  <si>
    <t>prop_clearance_tailUp</t>
  </si>
  <si>
    <t>overturn_phi_deg</t>
  </si>
  <si>
    <t>lastControlSurfaces.Elevator.E</t>
  </si>
  <si>
    <t>lastControlSurfaces.Elevator.delta_flare_deg</t>
  </si>
  <si>
    <t>lastControlSurfaces.Elevator.margin_deg</t>
  </si>
  <si>
    <t>lastControlSurfaces.Aileron.E_a</t>
  </si>
  <si>
    <t>lastControlSurfaces.Aileron.y1_frac</t>
  </si>
  <si>
    <t>lastControlSurfaces.Aileron.y2_frac</t>
  </si>
  <si>
    <t>lastControlSurfaces.Aileron.pb_2V</t>
  </si>
  <si>
    <t>lastControlSurfaces.Aileron.roll_rate_dps</t>
  </si>
  <si>
    <t>lastControlSurfaces.Rudder.S_v</t>
  </si>
  <si>
    <t>lastControlSurfaces.Rudder.AR_v</t>
  </si>
  <si>
    <t>lastControlSurfaces.Rudder.E_r</t>
  </si>
  <si>
    <t>lastControlSurfaces.Rudder.delta_r_deg</t>
  </si>
  <si>
    <t>lastControlSurfaces.Rudder.margin_deg</t>
  </si>
  <si>
    <t>lastDerivatives.CL_Alpha</t>
  </si>
  <si>
    <t>lastDerivatives.x_n</t>
  </si>
  <si>
    <t>lastDerivatives.SM</t>
  </si>
  <si>
    <t>lastDerivatives.CM_Alpha</t>
  </si>
  <si>
    <t>lastDerivatives.Cn_beta</t>
  </si>
  <si>
    <t>lastDerivatives.Gamma_deg</t>
  </si>
  <si>
    <t>lastDerivatives.Cl_beta</t>
  </si>
  <si>
    <t>stability</t>
  </si>
  <si>
    <t>rolling maneuver (down-going wing)</t>
  </si>
  <si>
    <t>hard landing</t>
  </si>
  <si>
    <t>Motor Spec per Jackson</t>
  </si>
  <si>
    <t>CL_ground_attitude</t>
  </si>
  <si>
    <t>fty_al_6061_t6</t>
  </si>
  <si>
    <t>materials</t>
  </si>
  <si>
    <t>MPa</t>
  </si>
  <si>
    <t>fsu_al_6061_t6</t>
  </si>
  <si>
    <t>fbry_al_6061_t6</t>
  </si>
  <si>
    <t>E_al_6061_t6</t>
  </si>
  <si>
    <t>gear_strut_thickness</t>
  </si>
  <si>
    <t>gear_strut_width_max</t>
  </si>
  <si>
    <t>gear_strut_width_min</t>
  </si>
  <si>
    <t>gear_strut_angle</t>
  </si>
  <si>
    <t>height_fuselage</t>
  </si>
  <si>
    <t>wall_thick_fuselage</t>
  </si>
  <si>
    <t>width_spar</t>
  </si>
  <si>
    <t>length_spar</t>
  </si>
  <si>
    <t>wall_thick_spar</t>
  </si>
  <si>
    <t>width_tail_boom</t>
  </si>
  <si>
    <t>length_tail_boom</t>
  </si>
  <si>
    <t>wall_thick_tail_boom</t>
  </si>
  <si>
    <t>washer_OD</t>
  </si>
  <si>
    <t>washer_ID</t>
  </si>
  <si>
    <t>OUTDATED - USED FOR DRAG BUILDUP</t>
  </si>
  <si>
    <t>gear_strut_length</t>
  </si>
  <si>
    <t>Main gear strut VERTICAL HEIGHT - USED FOR DRAG AND GEAR PLACEMENT</t>
  </si>
  <si>
    <t>MAIN STRUT BEAM LENGTH - USED FOR STRESS MARGINS</t>
  </si>
  <si>
    <t>FROM MMPDS, AMS 4080 (DRAWN TUBE)</t>
  </si>
  <si>
    <t>FROM MMPDS</t>
  </si>
  <si>
    <t>fc_plywood</t>
  </si>
  <si>
    <t>tailcone_V</t>
  </si>
  <si>
    <t>MoS_spar_vm</t>
  </si>
  <si>
    <t>MoS_spar_shear</t>
  </si>
  <si>
    <t>MoS_tail_boom_vm</t>
  </si>
  <si>
    <t>MoS_tail_boom_shear</t>
  </si>
  <si>
    <t>MoS_fuselage_bend</t>
  </si>
  <si>
    <t>MoS_fuselage_shear</t>
  </si>
  <si>
    <t>MoS_gear_shear</t>
  </si>
  <si>
    <t>maneuver</t>
  </si>
  <si>
    <t>FROM https://www.metsagroup.com/globalassets/metsa-wood/dop-documents/dop_metsa_wood_birch_plywood_muf_2019-12-2_en.pdf</t>
  </si>
  <si>
    <t>sigma_bend_spar</t>
  </si>
  <si>
    <t>tau_shear_spar</t>
  </si>
  <si>
    <t>tau_torsion_spar</t>
  </si>
  <si>
    <t>sigma_vm_spar</t>
  </si>
  <si>
    <t>tau_spar_max</t>
  </si>
  <si>
    <t>sigma_bend_tail_boom</t>
  </si>
  <si>
    <t>tau_shear_tail_boom</t>
  </si>
  <si>
    <t>tau_torsion_tail_boom</t>
  </si>
  <si>
    <t>sigma_vm_tail_boom</t>
  </si>
  <si>
    <t>tau_tail_boom_max</t>
  </si>
  <si>
    <t>sigma_bend_fuselage</t>
  </si>
  <si>
    <t>tau_shear_fuselage</t>
  </si>
  <si>
    <t>tau_torsion_fuselage</t>
  </si>
  <si>
    <t>tau_combined_fuselage</t>
  </si>
  <si>
    <t>sigma_bend_gear</t>
  </si>
  <si>
    <t>sigma_comp_gear</t>
  </si>
  <si>
    <t>tau_gear</t>
  </si>
  <si>
    <t>fs_panel_plywood</t>
  </si>
  <si>
    <t>fs_planar_plywood</t>
  </si>
  <si>
    <t>Length that sticks out of fuselage</t>
  </si>
  <si>
    <t>bolt_OD</t>
  </si>
  <si>
    <t>T_static_actual</t>
  </si>
  <si>
    <t>MoS_gear_vm</t>
  </si>
  <si>
    <t>MoS_wing_joint</t>
  </si>
  <si>
    <t>MoS_boom_joint</t>
  </si>
  <si>
    <t>MoS_motor_mount</t>
  </si>
  <si>
    <t>MoS_gear_mount</t>
  </si>
  <si>
    <t>tail_def_angle</t>
  </si>
  <si>
    <t>tail_def</t>
  </si>
  <si>
    <t>wall_thick_tail_mount</t>
  </si>
  <si>
    <t>width_tail_mount</t>
  </si>
  <si>
    <t>MoS_tail_mount</t>
  </si>
  <si>
    <t>ftu_petg</t>
  </si>
  <si>
    <t>From UltiMaker</t>
  </si>
  <si>
    <t>Written by writeOutputs.m on 2026-10-15 10:50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</si>
</sst>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rgb="FF1F3C78"/>
      <name val="Calibri"/>
      <family val="2"/>
    </font>
    <font>
      <i/>
      <sz val="9"/>
      <color rgb="FF808080"/>
      <name val="Calibri"/>
      <family val="2"/>
    </font>
    <font>
      <b/>
      <sz val="11"/>
      <color rgb="FFFFFFFF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84E1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31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2" borderId="0" xfId="1" applyFont="1" applyFill="1"/>
    <xf numFmtId="164" fontId="1" fillId="0" borderId="0" xfId="1" applyNumberFormat="1"/>
    <xf numFmtId="165" fontId="1" fillId="0" borderId="0" xfId="1" applyNumberFormat="1"/>
    <xf numFmtId="166" fontId="1" fillId="0" borderId="0" xfId="1" applyNumberFormat="1"/>
    <xf numFmtId="166" fontId="5" fillId="3" borderId="0" xfId="1" applyNumberFormat="1" applyFont="1" applyFill="1"/>
    <xf numFmtId="164" fontId="5" fillId="3" borderId="0" xfId="1" applyNumberFormat="1" applyFont="1" applyFill="1"/>
    <xf numFmtId="165" fontId="5" fillId="4" borderId="0" xfId="1" applyNumberFormat="1" applyFont="1" applyFill="1"/>
    <xf numFmtId="0" fontId="6" fillId="0" borderId="0" xfId="1" applyFont="1"/>
    <xf numFmtId="165" fontId="6" fillId="4" borderId="0" xfId="1" applyNumberFormat="1" applyFont="1" applyFill="1"/>
    <xf numFmtId="2" fontId="6" fillId="4" borderId="0" xfId="1" applyNumberFormat="1" applyFont="1" applyFill="1"/>
    <xf numFmtId="0" fontId="5" fillId="3" borderId="0" xfId="1" applyFont="1" applyFill="1"/>
    <xf numFmtId="164" fontId="1" fillId="3" borderId="0" xfId="1" applyNumberFormat="1" applyFill="1"/>
    <xf numFmtId="166" fontId="5" fillId="5" borderId="0" xfId="1" applyNumberFormat="1" applyFont="1" applyFill="1"/>
    <xf numFmtId="2" fontId="5" fillId="5" borderId="0" xfId="1" applyNumberFormat="1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1" fontId="0" fillId="7" borderId="1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48" totalsRowShown="0">
  <autoFilter ref="A1:F148" xr:uid="{00000000-0009-0000-0100-000001000000}"/>
  <sortState xmlns:xlrd2="http://schemas.microsoft.com/office/spreadsheetml/2017/richdata2" ref="A2:E43">
    <sortCondition ref="B1:B102"/>
  </sortState>
  <tableColumns count="6">
    <tableColumn id="1" xr3:uid="{00000000-0010-0000-0000-000001000000}" name="Parameter"/>
    <tableColumn id="2" xr3:uid="{00000000-0010-0000-0000-000002000000}" name="Subclass" dataDxfId="2"/>
    <tableColumn id="3" xr3:uid="{00000000-0010-0000-0000-000003000000}" name="Value" dataDxfId="1"/>
    <tableColumn id="4" xr3:uid="{00000000-0010-0000-0000-000004000000}" name="Units" dataDxfId="0"/>
    <tableColumn id="5" xr3:uid="{00000000-0010-0000-0000-000005000000}" name="Description"/>
    <tableColumn id="6" xr3:uid="{00000000-0010-0000-0000-000006000000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topLeftCell="A30" zoomScale="115" zoomScaleNormal="115" workbookViewId="0">
      <selection activeCell="E118" sqref="E118"/>
    </sheetView>
  </sheetViews>
  <sheetFormatPr defaultColWidth="8.6640625" defaultRowHeight="14.4" x14ac:dyDescent="0.3"/>
  <cols>
    <col min="1" max="1" width="20.6640625" bestFit="1" customWidth="1"/>
    <col min="2" max="2" width="15.109375" style="20" customWidth="1"/>
    <col min="3" max="3" width="13.6640625" style="20" customWidth="1"/>
    <col min="4" max="4" width="16.88671875" style="20" customWidth="1"/>
    <col min="5" max="5" width="168.109375" bestFit="1" customWidth="1"/>
    <col min="6" max="6" width="142.44140625" bestFit="1" customWidth="1"/>
  </cols>
  <sheetData>
    <row r="1" spans="1:6" x14ac:dyDescent="0.3">
      <c r="A1" t="s">
        <v>0</v>
      </c>
      <c r="B1" s="20" t="s">
        <v>1</v>
      </c>
      <c r="C1" s="20" t="s">
        <v>2</v>
      </c>
      <c r="D1" s="20" t="s">
        <v>3</v>
      </c>
      <c r="E1" t="s">
        <v>4</v>
      </c>
      <c r="F1" t="s">
        <v>5</v>
      </c>
    </row>
    <row r="2" spans="1:6" x14ac:dyDescent="0.3">
      <c r="A2" t="s">
        <v>6</v>
      </c>
      <c r="B2" s="20" t="s">
        <v>7</v>
      </c>
      <c r="C2" s="20">
        <v>0.25</v>
      </c>
      <c r="D2" s="20" t="s">
        <v>8</v>
      </c>
      <c r="E2" t="s">
        <v>9</v>
      </c>
    </row>
    <row r="3" spans="1:6" x14ac:dyDescent="0.3">
      <c r="A3" t="s">
        <v>10</v>
      </c>
      <c r="B3" s="20" t="s">
        <v>7</v>
      </c>
      <c r="C3" s="20">
        <v>0.3</v>
      </c>
      <c r="D3" s="20" t="s">
        <v>8</v>
      </c>
      <c r="E3" t="s">
        <v>11</v>
      </c>
    </row>
    <row r="4" spans="1:6" x14ac:dyDescent="0.3">
      <c r="A4" t="s">
        <v>12</v>
      </c>
      <c r="B4" s="20" t="s">
        <v>7</v>
      </c>
      <c r="C4" s="20">
        <v>0.1</v>
      </c>
      <c r="D4" s="20" t="s">
        <v>8</v>
      </c>
      <c r="E4" t="s">
        <v>13</v>
      </c>
    </row>
    <row r="5" spans="1:6" x14ac:dyDescent="0.3">
      <c r="A5" t="s">
        <v>14</v>
      </c>
      <c r="B5" s="20" t="s">
        <v>7</v>
      </c>
      <c r="C5" s="20">
        <v>1.43</v>
      </c>
      <c r="D5" s="20" t="s">
        <v>8</v>
      </c>
      <c r="E5" t="s">
        <v>15</v>
      </c>
    </row>
    <row r="6" spans="1:6" x14ac:dyDescent="0.3">
      <c r="A6" t="s">
        <v>16</v>
      </c>
      <c r="B6" s="20" t="s">
        <v>7</v>
      </c>
      <c r="C6" s="20">
        <v>0.3</v>
      </c>
      <c r="D6" s="20" t="s">
        <v>8</v>
      </c>
      <c r="E6" t="s">
        <v>17</v>
      </c>
    </row>
    <row r="7" spans="1:6" x14ac:dyDescent="0.3">
      <c r="A7" t="s">
        <v>18</v>
      </c>
      <c r="B7" s="20" t="s">
        <v>7</v>
      </c>
      <c r="C7" s="20">
        <v>0.43</v>
      </c>
      <c r="D7" s="20" t="s">
        <v>8</v>
      </c>
      <c r="E7" t="s">
        <v>19</v>
      </c>
    </row>
    <row r="8" spans="1:6" x14ac:dyDescent="0.3">
      <c r="A8" t="s">
        <v>20</v>
      </c>
      <c r="B8" s="20" t="s">
        <v>7</v>
      </c>
      <c r="C8" s="20">
        <v>-0.08</v>
      </c>
      <c r="D8" s="20" t="s">
        <v>8</v>
      </c>
      <c r="E8" t="s">
        <v>21</v>
      </c>
    </row>
    <row r="9" spans="1:6" x14ac:dyDescent="0.3">
      <c r="A9" t="s">
        <v>203</v>
      </c>
      <c r="B9" s="20" t="s">
        <v>7</v>
      </c>
      <c r="C9" s="20">
        <v>-0.08</v>
      </c>
      <c r="D9" s="20" t="s">
        <v>8</v>
      </c>
    </row>
    <row r="10" spans="1:6" x14ac:dyDescent="0.3">
      <c r="A10" t="s">
        <v>22</v>
      </c>
      <c r="B10" s="20" t="s">
        <v>7</v>
      </c>
      <c r="C10" s="20">
        <v>15.8</v>
      </c>
      <c r="D10" s="20" t="s">
        <v>23</v>
      </c>
      <c r="E10" t="s">
        <v>24</v>
      </c>
    </row>
    <row r="11" spans="1:6" x14ac:dyDescent="0.3">
      <c r="A11" t="s">
        <v>25</v>
      </c>
      <c r="B11" s="20" t="s">
        <v>7</v>
      </c>
      <c r="C11" s="20">
        <v>0.65</v>
      </c>
      <c r="D11" s="20" t="s">
        <v>8</v>
      </c>
      <c r="E11" t="s">
        <v>26</v>
      </c>
    </row>
    <row r="12" spans="1:6" x14ac:dyDescent="0.3">
      <c r="A12" t="s">
        <v>27</v>
      </c>
      <c r="B12" s="20" t="s">
        <v>7</v>
      </c>
      <c r="C12" s="20">
        <v>0.33</v>
      </c>
      <c r="D12" s="20" t="s">
        <v>8</v>
      </c>
      <c r="E12" t="s">
        <v>201</v>
      </c>
    </row>
    <row r="13" spans="1:6" x14ac:dyDescent="0.3">
      <c r="A13" t="s">
        <v>28</v>
      </c>
      <c r="B13" s="20" t="s">
        <v>7</v>
      </c>
      <c r="C13" s="20">
        <v>120</v>
      </c>
      <c r="D13" s="20" t="s">
        <v>29</v>
      </c>
      <c r="E13" t="s">
        <v>30</v>
      </c>
    </row>
    <row r="14" spans="1:6" x14ac:dyDescent="0.3">
      <c r="A14" t="s">
        <v>31</v>
      </c>
      <c r="B14" s="20" t="s">
        <v>7</v>
      </c>
      <c r="C14" s="20">
        <v>0.1</v>
      </c>
      <c r="D14" s="20" t="s">
        <v>8</v>
      </c>
      <c r="E14" t="s">
        <v>32</v>
      </c>
    </row>
    <row r="15" spans="1:6" x14ac:dyDescent="0.3">
      <c r="A15" t="s">
        <v>33</v>
      </c>
      <c r="B15" s="20" t="s">
        <v>7</v>
      </c>
      <c r="C15" s="20">
        <v>1</v>
      </c>
      <c r="D15" s="20" t="s">
        <v>8</v>
      </c>
      <c r="E15" t="s">
        <v>34</v>
      </c>
    </row>
    <row r="16" spans="1:6" x14ac:dyDescent="0.3">
      <c r="A16" t="s">
        <v>35</v>
      </c>
      <c r="B16" s="20" t="s">
        <v>7</v>
      </c>
      <c r="C16" s="20">
        <v>1.05</v>
      </c>
      <c r="D16" s="20" t="s">
        <v>8</v>
      </c>
      <c r="E16" t="s">
        <v>36</v>
      </c>
    </row>
    <row r="17" spans="1:5" x14ac:dyDescent="0.3">
      <c r="A17" t="s">
        <v>37</v>
      </c>
      <c r="B17" s="20" t="s">
        <v>7</v>
      </c>
      <c r="C17" s="20">
        <v>1.05</v>
      </c>
      <c r="D17" s="20" t="s">
        <v>8</v>
      </c>
      <c r="E17" t="s">
        <v>38</v>
      </c>
    </row>
    <row r="18" spans="1:5" x14ac:dyDescent="0.3">
      <c r="A18" t="s">
        <v>39</v>
      </c>
      <c r="B18" s="20" t="s">
        <v>7</v>
      </c>
      <c r="C18" s="20">
        <v>1.02</v>
      </c>
      <c r="D18" s="20" t="s">
        <v>8</v>
      </c>
      <c r="E18" t="s">
        <v>40</v>
      </c>
    </row>
    <row r="19" spans="1:5" x14ac:dyDescent="0.3">
      <c r="A19" t="s">
        <v>41</v>
      </c>
      <c r="B19" s="20" t="s">
        <v>42</v>
      </c>
      <c r="C19" s="20">
        <v>9.81</v>
      </c>
      <c r="D19" s="20" t="s">
        <v>43</v>
      </c>
      <c r="E19" t="s">
        <v>44</v>
      </c>
    </row>
    <row r="20" spans="1:5" x14ac:dyDescent="0.3">
      <c r="A20" t="s">
        <v>45</v>
      </c>
      <c r="B20" s="20" t="s">
        <v>42</v>
      </c>
      <c r="C20" s="20">
        <v>1.2250000000000001</v>
      </c>
      <c r="D20" s="20" t="s">
        <v>46</v>
      </c>
      <c r="E20" t="s">
        <v>47</v>
      </c>
    </row>
    <row r="21" spans="1:5" x14ac:dyDescent="0.3">
      <c r="A21" t="s">
        <v>48</v>
      </c>
      <c r="B21" s="20" t="s">
        <v>42</v>
      </c>
      <c r="C21" s="20">
        <v>1.7960000000000001E-5</v>
      </c>
      <c r="D21" s="20" t="s">
        <v>49</v>
      </c>
      <c r="E21" t="s">
        <v>50</v>
      </c>
    </row>
    <row r="22" spans="1:5" x14ac:dyDescent="0.3">
      <c r="A22" t="s">
        <v>51</v>
      </c>
      <c r="B22" s="20" t="s">
        <v>42</v>
      </c>
      <c r="C22" s="20">
        <v>0.05</v>
      </c>
      <c r="D22" s="20" t="s">
        <v>8</v>
      </c>
      <c r="E22" t="s">
        <v>52</v>
      </c>
    </row>
    <row r="23" spans="1:5" x14ac:dyDescent="0.3">
      <c r="A23" t="s">
        <v>53</v>
      </c>
      <c r="B23" s="20" t="s">
        <v>42</v>
      </c>
      <c r="C23" s="20">
        <v>0.08</v>
      </c>
      <c r="D23" s="20" t="s">
        <v>8</v>
      </c>
      <c r="E23" t="s">
        <v>54</v>
      </c>
    </row>
    <row r="24" spans="1:5" x14ac:dyDescent="0.3">
      <c r="A24" t="s">
        <v>55</v>
      </c>
      <c r="B24" s="20" t="s">
        <v>56</v>
      </c>
      <c r="C24" s="20">
        <v>0.15</v>
      </c>
      <c r="D24" s="20" t="s">
        <v>8</v>
      </c>
      <c r="E24" t="s">
        <v>57</v>
      </c>
    </row>
    <row r="25" spans="1:5" x14ac:dyDescent="0.3">
      <c r="A25" t="s">
        <v>58</v>
      </c>
      <c r="B25" s="20" t="s">
        <v>56</v>
      </c>
      <c r="C25" s="20">
        <v>1.5</v>
      </c>
      <c r="D25" s="20" t="s">
        <v>59</v>
      </c>
      <c r="E25" t="s">
        <v>60</v>
      </c>
    </row>
    <row r="26" spans="1:5" x14ac:dyDescent="0.3">
      <c r="A26" t="s">
        <v>61</v>
      </c>
      <c r="B26" s="20" t="s">
        <v>56</v>
      </c>
      <c r="C26" s="20">
        <v>0.08</v>
      </c>
      <c r="D26" s="20" t="s">
        <v>59</v>
      </c>
      <c r="E26" t="s">
        <v>62</v>
      </c>
    </row>
    <row r="27" spans="1:5" x14ac:dyDescent="0.3">
      <c r="A27" t="s">
        <v>63</v>
      </c>
      <c r="B27" s="20" t="s">
        <v>56</v>
      </c>
      <c r="C27" s="20">
        <v>1</v>
      </c>
      <c r="D27" s="20" t="s">
        <v>59</v>
      </c>
      <c r="E27" t="s">
        <v>64</v>
      </c>
    </row>
    <row r="28" spans="1:5" x14ac:dyDescent="0.3">
      <c r="A28" t="s">
        <v>65</v>
      </c>
      <c r="B28" s="20" t="s">
        <v>56</v>
      </c>
      <c r="C28" s="20">
        <v>0.433</v>
      </c>
      <c r="D28" s="20" t="s">
        <v>66</v>
      </c>
      <c r="E28" t="s">
        <v>67</v>
      </c>
    </row>
    <row r="29" spans="1:5" x14ac:dyDescent="0.3">
      <c r="A29" t="s">
        <v>68</v>
      </c>
      <c r="B29" s="20" t="s">
        <v>56</v>
      </c>
      <c r="C29" s="20">
        <v>0.14000000000000001</v>
      </c>
      <c r="D29" s="20" t="s">
        <v>8</v>
      </c>
      <c r="E29" t="s">
        <v>69</v>
      </c>
    </row>
    <row r="30" spans="1:5" x14ac:dyDescent="0.3">
      <c r="A30" t="s">
        <v>70</v>
      </c>
      <c r="B30" s="20" t="s">
        <v>56</v>
      </c>
      <c r="C30" s="20">
        <v>0.255</v>
      </c>
      <c r="D30" s="20" t="s">
        <v>8</v>
      </c>
      <c r="E30" t="s">
        <v>71</v>
      </c>
    </row>
    <row r="31" spans="1:5" x14ac:dyDescent="0.3">
      <c r="A31" t="s">
        <v>72</v>
      </c>
      <c r="B31" s="20" t="s">
        <v>56</v>
      </c>
      <c r="C31" s="20">
        <v>0.1</v>
      </c>
      <c r="D31" s="20" t="s">
        <v>8</v>
      </c>
      <c r="E31" t="s">
        <v>73</v>
      </c>
    </row>
    <row r="32" spans="1:5" x14ac:dyDescent="0.3">
      <c r="A32" t="s">
        <v>74</v>
      </c>
      <c r="B32" s="20" t="s">
        <v>56</v>
      </c>
      <c r="C32" s="20">
        <v>0.3</v>
      </c>
      <c r="D32" s="20" t="s">
        <v>8</v>
      </c>
      <c r="E32" t="s">
        <v>75</v>
      </c>
    </row>
    <row r="33" spans="1:5" x14ac:dyDescent="0.3">
      <c r="A33" t="s">
        <v>76</v>
      </c>
      <c r="B33" s="20" t="s">
        <v>56</v>
      </c>
      <c r="C33" s="20">
        <v>2.5</v>
      </c>
      <c r="D33" s="20" t="s">
        <v>8</v>
      </c>
      <c r="E33" t="s">
        <v>77</v>
      </c>
    </row>
    <row r="34" spans="1:5" x14ac:dyDescent="0.3">
      <c r="A34" t="s">
        <v>78</v>
      </c>
      <c r="B34" s="20" t="s">
        <v>56</v>
      </c>
      <c r="C34" s="20">
        <v>1.07</v>
      </c>
      <c r="D34" s="20" t="s">
        <v>8</v>
      </c>
      <c r="E34" t="s">
        <v>79</v>
      </c>
    </row>
    <row r="35" spans="1:5" x14ac:dyDescent="0.3">
      <c r="A35" t="s">
        <v>80</v>
      </c>
      <c r="B35" s="20" t="s">
        <v>56</v>
      </c>
      <c r="C35" s="20">
        <v>0.1</v>
      </c>
      <c r="D35" s="20" t="s">
        <v>8</v>
      </c>
      <c r="E35" t="s">
        <v>81</v>
      </c>
    </row>
    <row r="36" spans="1:5" x14ac:dyDescent="0.3">
      <c r="A36" t="s">
        <v>82</v>
      </c>
      <c r="B36" s="20" t="s">
        <v>56</v>
      </c>
      <c r="C36" s="20">
        <v>0.3</v>
      </c>
      <c r="D36" s="20" t="s">
        <v>8</v>
      </c>
      <c r="E36" t="s">
        <v>83</v>
      </c>
    </row>
    <row r="37" spans="1:5" x14ac:dyDescent="0.3">
      <c r="A37" t="s">
        <v>84</v>
      </c>
      <c r="B37" s="20" t="s">
        <v>56</v>
      </c>
      <c r="C37" s="20">
        <v>8.3000000000000004E-2</v>
      </c>
      <c r="D37" s="20" t="s">
        <v>59</v>
      </c>
      <c r="E37" t="s">
        <v>85</v>
      </c>
    </row>
    <row r="38" spans="1:5" x14ac:dyDescent="0.3">
      <c r="A38" t="s">
        <v>86</v>
      </c>
      <c r="B38" s="20" t="s">
        <v>56</v>
      </c>
      <c r="C38" s="20">
        <v>4.7E-2</v>
      </c>
      <c r="D38" s="20" t="s">
        <v>59</v>
      </c>
      <c r="E38" t="s">
        <v>87</v>
      </c>
    </row>
    <row r="39" spans="1:5" x14ac:dyDescent="0.3">
      <c r="A39" t="s">
        <v>88</v>
      </c>
      <c r="B39" s="20" t="s">
        <v>56</v>
      </c>
      <c r="C39" s="20">
        <v>0.1043</v>
      </c>
      <c r="D39" s="20" t="s">
        <v>59</v>
      </c>
      <c r="E39" t="s">
        <v>477</v>
      </c>
    </row>
    <row r="40" spans="1:5" x14ac:dyDescent="0.3">
      <c r="A40" t="s">
        <v>89</v>
      </c>
      <c r="B40" s="20" t="s">
        <v>56</v>
      </c>
      <c r="C40" s="20">
        <v>1.6E-2</v>
      </c>
      <c r="D40" s="20" t="s">
        <v>59</v>
      </c>
      <c r="E40" t="s">
        <v>475</v>
      </c>
    </row>
    <row r="41" spans="1:5" x14ac:dyDescent="0.3">
      <c r="A41" t="s">
        <v>90</v>
      </c>
      <c r="B41" s="20" t="s">
        <v>56</v>
      </c>
      <c r="C41" s="20">
        <v>0.03</v>
      </c>
      <c r="D41" s="20" t="s">
        <v>59</v>
      </c>
      <c r="E41" t="s">
        <v>91</v>
      </c>
    </row>
    <row r="42" spans="1:5" x14ac:dyDescent="0.3">
      <c r="A42" t="s">
        <v>92</v>
      </c>
      <c r="B42" s="20" t="s">
        <v>56</v>
      </c>
      <c r="C42" s="20">
        <v>0.01</v>
      </c>
      <c r="D42" s="20" t="s">
        <v>59</v>
      </c>
      <c r="E42" t="s">
        <v>93</v>
      </c>
    </row>
    <row r="43" spans="1:5" x14ac:dyDescent="0.3">
      <c r="A43" t="s">
        <v>94</v>
      </c>
      <c r="B43" s="20" t="s">
        <v>56</v>
      </c>
      <c r="C43" s="20">
        <v>6.3E-2</v>
      </c>
      <c r="D43" s="20" t="s">
        <v>59</v>
      </c>
      <c r="E43" t="s">
        <v>95</v>
      </c>
    </row>
    <row r="44" spans="1:5" x14ac:dyDescent="0.3">
      <c r="A44" t="s">
        <v>96</v>
      </c>
      <c r="B44" s="20" t="s">
        <v>56</v>
      </c>
      <c r="C44" s="20">
        <v>2.5000000000000001E-3</v>
      </c>
      <c r="D44" s="20" t="s">
        <v>59</v>
      </c>
      <c r="E44" t="s">
        <v>97</v>
      </c>
    </row>
    <row r="45" spans="1:5" x14ac:dyDescent="0.3">
      <c r="A45" t="s">
        <v>98</v>
      </c>
      <c r="B45" s="20" t="s">
        <v>56</v>
      </c>
      <c r="C45" s="20">
        <v>0.08</v>
      </c>
      <c r="D45" s="20" t="s">
        <v>99</v>
      </c>
      <c r="E45" t="s">
        <v>100</v>
      </c>
    </row>
    <row r="46" spans="1:5" x14ac:dyDescent="0.3">
      <c r="A46" t="s">
        <v>101</v>
      </c>
      <c r="B46" s="20" t="s">
        <v>56</v>
      </c>
      <c r="C46" s="20">
        <v>0.1</v>
      </c>
      <c r="D46" s="20" t="s">
        <v>59</v>
      </c>
      <c r="E46" t="s">
        <v>102</v>
      </c>
    </row>
    <row r="47" spans="1:5" x14ac:dyDescent="0.3">
      <c r="A47" t="s">
        <v>103</v>
      </c>
      <c r="B47" s="20" t="s">
        <v>56</v>
      </c>
      <c r="C47" s="20">
        <v>0.04</v>
      </c>
      <c r="D47" s="20" t="s">
        <v>59</v>
      </c>
      <c r="E47" t="s">
        <v>104</v>
      </c>
    </row>
    <row r="48" spans="1:5" x14ac:dyDescent="0.3">
      <c r="A48" t="s">
        <v>105</v>
      </c>
      <c r="B48" s="20" t="s">
        <v>56</v>
      </c>
      <c r="C48" s="20">
        <v>0.25</v>
      </c>
      <c r="D48" s="20" t="s">
        <v>8</v>
      </c>
      <c r="E48" t="s">
        <v>106</v>
      </c>
    </row>
    <row r="49" spans="1:5" x14ac:dyDescent="0.3">
      <c r="A49" t="s">
        <v>107</v>
      </c>
      <c r="B49" s="20" t="s">
        <v>56</v>
      </c>
      <c r="C49" s="20">
        <v>0.8</v>
      </c>
      <c r="D49" s="20" t="s">
        <v>59</v>
      </c>
      <c r="E49" t="s">
        <v>108</v>
      </c>
    </row>
    <row r="50" spans="1:5" x14ac:dyDescent="0.3">
      <c r="A50" t="s">
        <v>109</v>
      </c>
      <c r="B50" s="20" t="s">
        <v>56</v>
      </c>
      <c r="C50" s="20">
        <v>0.17</v>
      </c>
      <c r="D50" s="20" t="s">
        <v>8</v>
      </c>
      <c r="E50" t="s">
        <v>110</v>
      </c>
    </row>
    <row r="51" spans="1:5" x14ac:dyDescent="0.3">
      <c r="A51" t="s">
        <v>111</v>
      </c>
      <c r="B51" s="20" t="s">
        <v>56</v>
      </c>
      <c r="C51" s="20">
        <v>2</v>
      </c>
      <c r="D51" s="20" t="s">
        <v>8</v>
      </c>
      <c r="E51" t="s">
        <v>112</v>
      </c>
    </row>
    <row r="52" spans="1:5" x14ac:dyDescent="0.3">
      <c r="A52" t="s">
        <v>113</v>
      </c>
      <c r="B52" s="20" t="s">
        <v>56</v>
      </c>
      <c r="C52" s="20">
        <v>1</v>
      </c>
      <c r="D52" s="20" t="s">
        <v>8</v>
      </c>
      <c r="E52" t="s">
        <v>114</v>
      </c>
    </row>
    <row r="53" spans="1:5" x14ac:dyDescent="0.3">
      <c r="A53" t="s">
        <v>115</v>
      </c>
      <c r="B53" s="20" t="s">
        <v>56</v>
      </c>
      <c r="C53" s="20">
        <v>0.3</v>
      </c>
      <c r="D53" s="20" t="s">
        <v>8</v>
      </c>
      <c r="E53" t="s">
        <v>116</v>
      </c>
    </row>
    <row r="54" spans="1:5" x14ac:dyDescent="0.3">
      <c r="A54" t="s">
        <v>117</v>
      </c>
      <c r="B54" s="20" t="s">
        <v>56</v>
      </c>
      <c r="C54" s="20">
        <v>30</v>
      </c>
      <c r="D54" s="20" t="s">
        <v>23</v>
      </c>
      <c r="E54" t="s">
        <v>118</v>
      </c>
    </row>
    <row r="55" spans="1:5" x14ac:dyDescent="0.3">
      <c r="A55" t="s">
        <v>119</v>
      </c>
      <c r="B55" s="20" t="s">
        <v>56</v>
      </c>
      <c r="C55" s="20">
        <v>0.3</v>
      </c>
      <c r="D55" s="20" t="s">
        <v>8</v>
      </c>
      <c r="E55" t="s">
        <v>120</v>
      </c>
    </row>
    <row r="56" spans="1:5" x14ac:dyDescent="0.3">
      <c r="A56" t="s">
        <v>121</v>
      </c>
      <c r="B56" s="20" t="s">
        <v>56</v>
      </c>
      <c r="C56" s="20">
        <v>30</v>
      </c>
      <c r="D56" s="20" t="s">
        <v>23</v>
      </c>
      <c r="E56" t="s">
        <v>122</v>
      </c>
    </row>
    <row r="57" spans="1:5" x14ac:dyDescent="0.3">
      <c r="A57" t="s">
        <v>123</v>
      </c>
      <c r="B57" s="20" t="s">
        <v>56</v>
      </c>
      <c r="C57" s="20">
        <v>0.25</v>
      </c>
      <c r="D57" s="20" t="s">
        <v>8</v>
      </c>
      <c r="E57" t="s">
        <v>124</v>
      </c>
    </row>
    <row r="58" spans="1:5" x14ac:dyDescent="0.3">
      <c r="A58" t="s">
        <v>125</v>
      </c>
      <c r="B58" s="20" t="s">
        <v>56</v>
      </c>
      <c r="C58" s="20">
        <v>0.7</v>
      </c>
      <c r="D58" s="20" t="s">
        <v>8</v>
      </c>
      <c r="E58" t="s">
        <v>126</v>
      </c>
    </row>
    <row r="59" spans="1:5" x14ac:dyDescent="0.3">
      <c r="A59" t="s">
        <v>127</v>
      </c>
      <c r="B59" s="20" t="s">
        <v>56</v>
      </c>
      <c r="C59" s="20">
        <v>1</v>
      </c>
      <c r="D59" s="20" t="s">
        <v>8</v>
      </c>
      <c r="E59" t="s">
        <v>128</v>
      </c>
    </row>
    <row r="60" spans="1:5" x14ac:dyDescent="0.3">
      <c r="A60" t="s">
        <v>129</v>
      </c>
      <c r="B60" s="20" t="s">
        <v>56</v>
      </c>
      <c r="C60" s="20">
        <v>15</v>
      </c>
      <c r="D60" s="20" t="s">
        <v>23</v>
      </c>
      <c r="E60" t="s">
        <v>130</v>
      </c>
    </row>
    <row r="61" spans="1:5" x14ac:dyDescent="0.3">
      <c r="A61" t="s">
        <v>131</v>
      </c>
      <c r="B61" s="20" t="s">
        <v>56</v>
      </c>
      <c r="C61" s="20">
        <v>5</v>
      </c>
      <c r="D61" s="20" t="s">
        <v>23</v>
      </c>
      <c r="E61" t="s">
        <v>132</v>
      </c>
    </row>
    <row r="62" spans="1:5" x14ac:dyDescent="0.3">
      <c r="A62" t="s">
        <v>133</v>
      </c>
      <c r="B62" s="20" t="s">
        <v>134</v>
      </c>
      <c r="C62" s="20">
        <v>10</v>
      </c>
      <c r="D62" s="20" t="s">
        <v>135</v>
      </c>
      <c r="E62" t="s">
        <v>136</v>
      </c>
    </row>
    <row r="63" spans="1:5" x14ac:dyDescent="0.3">
      <c r="A63" t="s">
        <v>137</v>
      </c>
      <c r="B63" s="20" t="s">
        <v>134</v>
      </c>
      <c r="C63" s="20">
        <v>1.1000000000000001</v>
      </c>
      <c r="D63" s="20" t="s">
        <v>8</v>
      </c>
      <c r="E63" t="s">
        <v>138</v>
      </c>
    </row>
    <row r="64" spans="1:5" x14ac:dyDescent="0.3">
      <c r="A64" t="s">
        <v>139</v>
      </c>
      <c r="B64" s="20" t="s">
        <v>134</v>
      </c>
      <c r="C64" s="20">
        <v>0.75</v>
      </c>
      <c r="D64" s="20" t="s">
        <v>8</v>
      </c>
      <c r="E64" t="s">
        <v>140</v>
      </c>
    </row>
    <row r="65" spans="1:5" x14ac:dyDescent="0.3">
      <c r="A65" t="s">
        <v>141</v>
      </c>
      <c r="B65" s="20" t="s">
        <v>134</v>
      </c>
      <c r="C65" s="20">
        <v>1.5</v>
      </c>
      <c r="D65" s="20" t="s">
        <v>8</v>
      </c>
      <c r="E65" t="s">
        <v>142</v>
      </c>
    </row>
    <row r="66" spans="1:5" x14ac:dyDescent="0.3">
      <c r="A66" t="s">
        <v>143</v>
      </c>
      <c r="B66" s="20" t="s">
        <v>134</v>
      </c>
      <c r="C66" s="20">
        <v>20</v>
      </c>
      <c r="D66" s="20" t="s">
        <v>59</v>
      </c>
      <c r="E66" t="s">
        <v>198</v>
      </c>
    </row>
    <row r="67" spans="1:5" x14ac:dyDescent="0.3">
      <c r="A67" t="s">
        <v>199</v>
      </c>
      <c r="B67" s="20" t="s">
        <v>134</v>
      </c>
      <c r="C67" s="20">
        <v>50</v>
      </c>
      <c r="D67" s="20" t="s">
        <v>59</v>
      </c>
      <c r="E67" t="s">
        <v>200</v>
      </c>
    </row>
    <row r="68" spans="1:5" x14ac:dyDescent="0.3">
      <c r="A68" t="s">
        <v>144</v>
      </c>
      <c r="B68" s="20" t="s">
        <v>134</v>
      </c>
      <c r="C68" s="20">
        <v>30</v>
      </c>
      <c r="D68" s="20" t="s">
        <v>59</v>
      </c>
      <c r="E68" t="s">
        <v>145</v>
      </c>
    </row>
    <row r="69" spans="1:5" x14ac:dyDescent="0.3">
      <c r="A69" t="s">
        <v>146</v>
      </c>
      <c r="B69" s="20" t="s">
        <v>134</v>
      </c>
      <c r="C69" s="20">
        <v>100</v>
      </c>
      <c r="D69" s="20" t="s">
        <v>59</v>
      </c>
      <c r="E69" t="s">
        <v>147</v>
      </c>
    </row>
    <row r="70" spans="1:5" x14ac:dyDescent="0.3">
      <c r="A70" t="s">
        <v>148</v>
      </c>
      <c r="B70" s="20" t="s">
        <v>134</v>
      </c>
      <c r="C70" s="20">
        <v>25</v>
      </c>
      <c r="D70" s="20" t="s">
        <v>59</v>
      </c>
      <c r="E70" t="s">
        <v>149</v>
      </c>
    </row>
    <row r="71" spans="1:5" x14ac:dyDescent="0.3">
      <c r="A71" t="s">
        <v>150</v>
      </c>
      <c r="B71" s="20" t="s">
        <v>134</v>
      </c>
      <c r="C71" s="20">
        <v>200</v>
      </c>
      <c r="D71" s="20" t="s">
        <v>59</v>
      </c>
      <c r="E71" t="s">
        <v>151</v>
      </c>
    </row>
    <row r="72" spans="1:5" x14ac:dyDescent="0.3">
      <c r="A72" t="s">
        <v>152</v>
      </c>
      <c r="B72" s="20" t="s">
        <v>134</v>
      </c>
      <c r="C72" s="20">
        <v>95</v>
      </c>
      <c r="D72" s="20" t="s">
        <v>153</v>
      </c>
      <c r="E72" t="s">
        <v>154</v>
      </c>
    </row>
    <row r="73" spans="1:5" x14ac:dyDescent="0.3">
      <c r="A73" t="s">
        <v>155</v>
      </c>
      <c r="B73" s="20" t="s">
        <v>134</v>
      </c>
      <c r="C73" s="20">
        <v>7.0000000000000007E-2</v>
      </c>
      <c r="D73" s="20" t="s">
        <v>156</v>
      </c>
      <c r="E73" t="s">
        <v>157</v>
      </c>
    </row>
    <row r="74" spans="1:5" x14ac:dyDescent="0.3">
      <c r="A74" t="s">
        <v>158</v>
      </c>
      <c r="B74" s="20" t="s">
        <v>134</v>
      </c>
      <c r="C74" s="20">
        <v>0.8</v>
      </c>
      <c r="D74" s="20" t="s">
        <v>8</v>
      </c>
      <c r="E74" t="s">
        <v>159</v>
      </c>
    </row>
    <row r="75" spans="1:5" x14ac:dyDescent="0.3">
      <c r="A75" t="s">
        <v>160</v>
      </c>
      <c r="B75" s="20" t="s">
        <v>134</v>
      </c>
      <c r="C75" s="20">
        <v>0.52</v>
      </c>
      <c r="D75" s="20" t="s">
        <v>161</v>
      </c>
      <c r="E75" t="s">
        <v>162</v>
      </c>
    </row>
    <row r="76" spans="1:5" x14ac:dyDescent="0.3">
      <c r="A76" t="s">
        <v>163</v>
      </c>
      <c r="B76" s="20" t="s">
        <v>134</v>
      </c>
      <c r="C76" s="20">
        <v>10</v>
      </c>
      <c r="D76" s="20" t="s">
        <v>8</v>
      </c>
      <c r="E76" t="s">
        <v>164</v>
      </c>
    </row>
    <row r="77" spans="1:5" x14ac:dyDescent="0.3">
      <c r="A77" t="s">
        <v>165</v>
      </c>
      <c r="B77" s="20" t="s">
        <v>134</v>
      </c>
      <c r="C77" s="20">
        <v>6</v>
      </c>
      <c r="D77" s="20" t="s">
        <v>161</v>
      </c>
      <c r="E77" t="s">
        <v>166</v>
      </c>
    </row>
    <row r="78" spans="1:5" x14ac:dyDescent="0.3">
      <c r="A78" t="s">
        <v>167</v>
      </c>
      <c r="B78" s="20" t="s">
        <v>168</v>
      </c>
      <c r="C78" s="20">
        <v>0.75</v>
      </c>
      <c r="D78" s="20" t="s">
        <v>8</v>
      </c>
      <c r="E78" t="s">
        <v>169</v>
      </c>
    </row>
    <row r="79" spans="1:5" x14ac:dyDescent="0.3">
      <c r="A79" t="s">
        <v>170</v>
      </c>
      <c r="B79" s="20" t="s">
        <v>168</v>
      </c>
      <c r="C79" s="20">
        <v>0.45</v>
      </c>
      <c r="D79" s="20" t="s">
        <v>8</v>
      </c>
      <c r="E79" t="s">
        <v>171</v>
      </c>
    </row>
    <row r="80" spans="1:5" x14ac:dyDescent="0.3">
      <c r="A80" t="s">
        <v>172</v>
      </c>
      <c r="B80" s="20" t="s">
        <v>168</v>
      </c>
      <c r="C80" s="20">
        <v>1</v>
      </c>
      <c r="D80" s="20" t="s">
        <v>8</v>
      </c>
      <c r="E80" t="s">
        <v>173</v>
      </c>
    </row>
    <row r="81" spans="1:5" x14ac:dyDescent="0.3">
      <c r="A81" t="s">
        <v>174</v>
      </c>
      <c r="B81" s="20" t="s">
        <v>168</v>
      </c>
      <c r="C81" s="20">
        <v>0.75</v>
      </c>
      <c r="D81" s="20" t="s">
        <v>8</v>
      </c>
      <c r="E81" t="s">
        <v>175</v>
      </c>
    </row>
    <row r="82" spans="1:5" x14ac:dyDescent="0.3">
      <c r="A82" t="s">
        <v>176</v>
      </c>
      <c r="B82" s="20" t="s">
        <v>168</v>
      </c>
      <c r="C82" s="20">
        <v>0.95</v>
      </c>
      <c r="D82" s="20" t="s">
        <v>8</v>
      </c>
      <c r="E82" t="s">
        <v>177</v>
      </c>
    </row>
    <row r="83" spans="1:5" x14ac:dyDescent="0.3">
      <c r="A83" t="s">
        <v>178</v>
      </c>
      <c r="B83" s="20" t="s">
        <v>168</v>
      </c>
      <c r="C83" s="20">
        <v>980</v>
      </c>
      <c r="D83" s="20" t="s">
        <v>179</v>
      </c>
      <c r="E83" t="s">
        <v>180</v>
      </c>
    </row>
    <row r="84" spans="1:5" x14ac:dyDescent="0.3">
      <c r="A84" t="s">
        <v>181</v>
      </c>
      <c r="B84" s="20" t="s">
        <v>168</v>
      </c>
      <c r="C84" s="20">
        <v>1.84</v>
      </c>
      <c r="D84" s="20" t="s">
        <v>182</v>
      </c>
      <c r="E84" t="s">
        <v>183</v>
      </c>
    </row>
    <row r="85" spans="1:5" x14ac:dyDescent="0.3">
      <c r="A85" t="s">
        <v>184</v>
      </c>
      <c r="B85" s="20" t="s">
        <v>168</v>
      </c>
      <c r="C85" s="20">
        <v>2.5000000000000001E-2</v>
      </c>
      <c r="D85" s="20" t="s">
        <v>185</v>
      </c>
      <c r="E85" t="s">
        <v>186</v>
      </c>
    </row>
    <row r="86" spans="1:5" x14ac:dyDescent="0.3">
      <c r="A86" t="s">
        <v>187</v>
      </c>
      <c r="B86" s="20" t="s">
        <v>168</v>
      </c>
      <c r="C86" s="20">
        <v>14.8</v>
      </c>
      <c r="D86" s="20" t="s">
        <v>188</v>
      </c>
      <c r="E86" t="s">
        <v>204</v>
      </c>
    </row>
    <row r="87" spans="1:5" x14ac:dyDescent="0.3">
      <c r="A87" t="s">
        <v>189</v>
      </c>
      <c r="B87" s="20" t="s">
        <v>168</v>
      </c>
      <c r="C87" s="20" t="s">
        <v>202</v>
      </c>
      <c r="D87" s="20" t="s">
        <v>8</v>
      </c>
      <c r="E87" t="s">
        <v>190</v>
      </c>
    </row>
    <row r="88" spans="1:5" x14ac:dyDescent="0.3">
      <c r="A88" t="s">
        <v>191</v>
      </c>
      <c r="B88" s="20" t="s">
        <v>168</v>
      </c>
      <c r="C88" s="20">
        <v>527000</v>
      </c>
      <c r="D88" s="20" t="s">
        <v>192</v>
      </c>
      <c r="E88" t="s">
        <v>193</v>
      </c>
    </row>
    <row r="89" spans="1:5" x14ac:dyDescent="0.3">
      <c r="A89" t="s">
        <v>194</v>
      </c>
      <c r="B89" s="20" t="s">
        <v>168</v>
      </c>
      <c r="C89" s="20">
        <v>0.8</v>
      </c>
      <c r="D89" s="20" t="s">
        <v>8</v>
      </c>
      <c r="E89" t="s">
        <v>195</v>
      </c>
    </row>
    <row r="90" spans="1:5" x14ac:dyDescent="0.3">
      <c r="A90" t="s">
        <v>196</v>
      </c>
      <c r="B90" s="20" t="s">
        <v>168</v>
      </c>
      <c r="C90" s="20">
        <v>0.7</v>
      </c>
      <c r="D90" s="20" t="s">
        <v>8</v>
      </c>
      <c r="E90" t="s">
        <v>197</v>
      </c>
    </row>
    <row r="91" spans="1:5" x14ac:dyDescent="0.3">
      <c r="A91" t="s">
        <v>513</v>
      </c>
      <c r="B91" s="20" t="s">
        <v>168</v>
      </c>
      <c r="C91" s="20">
        <f>2.085*9.81</f>
        <v>20.453849999999999</v>
      </c>
      <c r="D91" s="20" t="s">
        <v>345</v>
      </c>
    </row>
    <row r="92" spans="1:5" x14ac:dyDescent="0.3">
      <c r="A92" t="s">
        <v>246</v>
      </c>
      <c r="B92" s="20" t="s">
        <v>247</v>
      </c>
      <c r="C92" s="20">
        <v>1</v>
      </c>
      <c r="D92" s="20" t="s">
        <v>8</v>
      </c>
      <c r="E92" t="s">
        <v>248</v>
      </c>
    </row>
    <row r="93" spans="1:5" x14ac:dyDescent="0.3">
      <c r="A93" t="s">
        <v>249</v>
      </c>
      <c r="B93" s="20" t="s">
        <v>247</v>
      </c>
      <c r="C93" s="20">
        <v>1.2</v>
      </c>
      <c r="D93" s="20" t="s">
        <v>8</v>
      </c>
      <c r="E93" t="s">
        <v>250</v>
      </c>
    </row>
    <row r="94" spans="1:5" x14ac:dyDescent="0.3">
      <c r="A94" t="s">
        <v>251</v>
      </c>
      <c r="B94" s="20" t="s">
        <v>247</v>
      </c>
      <c r="C94" s="20">
        <v>1</v>
      </c>
      <c r="D94" s="20" t="s">
        <v>8</v>
      </c>
      <c r="E94" t="s">
        <v>252</v>
      </c>
    </row>
    <row r="95" spans="1:5" x14ac:dyDescent="0.3">
      <c r="A95" t="s">
        <v>253</v>
      </c>
      <c r="B95" s="20" t="s">
        <v>247</v>
      </c>
      <c r="C95" s="20">
        <v>0.85</v>
      </c>
      <c r="D95" s="20" t="s">
        <v>8</v>
      </c>
      <c r="E95" t="s">
        <v>254</v>
      </c>
    </row>
    <row r="96" spans="1:5" x14ac:dyDescent="0.3">
      <c r="A96" t="s">
        <v>259</v>
      </c>
      <c r="B96" s="20" t="s">
        <v>247</v>
      </c>
      <c r="C96" s="20">
        <v>5.5</v>
      </c>
      <c r="D96" s="20" t="s">
        <v>188</v>
      </c>
      <c r="E96" t="s">
        <v>260</v>
      </c>
    </row>
    <row r="97" spans="1:5" x14ac:dyDescent="0.3">
      <c r="A97" t="s">
        <v>261</v>
      </c>
      <c r="B97" s="20" t="s">
        <v>7</v>
      </c>
      <c r="C97" s="20">
        <v>-0.66</v>
      </c>
      <c r="D97" s="20" t="s">
        <v>8</v>
      </c>
      <c r="E97" t="s">
        <v>293</v>
      </c>
    </row>
    <row r="98" spans="1:5" x14ac:dyDescent="0.3">
      <c r="A98" t="s">
        <v>262</v>
      </c>
      <c r="B98" s="27" t="s">
        <v>263</v>
      </c>
      <c r="C98" s="27">
        <v>0.25</v>
      </c>
      <c r="D98" s="20" t="s">
        <v>8</v>
      </c>
      <c r="E98" t="s">
        <v>294</v>
      </c>
    </row>
    <row r="99" spans="1:5" x14ac:dyDescent="0.3">
      <c r="A99" t="s">
        <v>264</v>
      </c>
      <c r="B99" s="20" t="s">
        <v>263</v>
      </c>
      <c r="C99" s="20">
        <v>1</v>
      </c>
      <c r="D99" s="20" t="s">
        <v>8</v>
      </c>
      <c r="E99" t="s">
        <v>295</v>
      </c>
    </row>
    <row r="100" spans="1:5" x14ac:dyDescent="0.3">
      <c r="A100" t="s">
        <v>265</v>
      </c>
      <c r="B100" s="20" t="s">
        <v>263</v>
      </c>
      <c r="C100" s="20">
        <v>1</v>
      </c>
      <c r="D100" s="20" t="s">
        <v>8</v>
      </c>
      <c r="E100" t="s">
        <v>296</v>
      </c>
    </row>
    <row r="101" spans="1:5" x14ac:dyDescent="0.3">
      <c r="A101" t="s">
        <v>266</v>
      </c>
      <c r="B101" s="20" t="s">
        <v>263</v>
      </c>
      <c r="C101" s="20">
        <v>1</v>
      </c>
      <c r="D101" s="20" t="s">
        <v>8</v>
      </c>
      <c r="E101" t="s">
        <v>297</v>
      </c>
    </row>
    <row r="102" spans="1:5" x14ac:dyDescent="0.3">
      <c r="A102" t="s">
        <v>267</v>
      </c>
      <c r="B102" s="27" t="s">
        <v>263</v>
      </c>
      <c r="C102" s="27">
        <v>1.2699999999999999E-2</v>
      </c>
      <c r="D102" s="20" t="s">
        <v>59</v>
      </c>
      <c r="E102" t="s">
        <v>298</v>
      </c>
    </row>
    <row r="103" spans="1:5" x14ac:dyDescent="0.3">
      <c r="A103" t="s">
        <v>268</v>
      </c>
      <c r="B103" s="28" t="s">
        <v>263</v>
      </c>
      <c r="C103" s="28">
        <v>0.29499999999999998</v>
      </c>
      <c r="D103" s="20" t="s">
        <v>59</v>
      </c>
      <c r="E103" t="s">
        <v>299</v>
      </c>
    </row>
    <row r="104" spans="1:5" x14ac:dyDescent="0.3">
      <c r="A104" t="s">
        <v>269</v>
      </c>
      <c r="B104" s="20" t="s">
        <v>263</v>
      </c>
      <c r="C104" s="20">
        <v>1</v>
      </c>
      <c r="D104" s="20" t="s">
        <v>135</v>
      </c>
      <c r="E104" t="s">
        <v>300</v>
      </c>
    </row>
    <row r="105" spans="1:5" x14ac:dyDescent="0.3">
      <c r="A105" t="s">
        <v>270</v>
      </c>
      <c r="B105" s="30" t="s">
        <v>263</v>
      </c>
      <c r="C105" s="30">
        <v>35000</v>
      </c>
      <c r="D105" s="20" t="s">
        <v>271</v>
      </c>
      <c r="E105" t="s">
        <v>311</v>
      </c>
    </row>
    <row r="106" spans="1:5" x14ac:dyDescent="0.3">
      <c r="A106" t="s">
        <v>303</v>
      </c>
      <c r="B106" s="27" t="s">
        <v>263</v>
      </c>
      <c r="C106" s="27">
        <v>0.34599999999999997</v>
      </c>
      <c r="D106" s="20" t="s">
        <v>59</v>
      </c>
      <c r="E106" t="s">
        <v>304</v>
      </c>
    </row>
    <row r="107" spans="1:5" x14ac:dyDescent="0.3">
      <c r="A107" t="s">
        <v>305</v>
      </c>
      <c r="B107" s="20" t="s">
        <v>134</v>
      </c>
      <c r="C107" s="20">
        <v>1000</v>
      </c>
      <c r="D107" s="20" t="s">
        <v>309</v>
      </c>
      <c r="E107" t="s">
        <v>310</v>
      </c>
    </row>
    <row r="108" spans="1:5" x14ac:dyDescent="0.3">
      <c r="A108" t="s">
        <v>306</v>
      </c>
      <c r="B108" s="20" t="s">
        <v>168</v>
      </c>
      <c r="C108" s="20">
        <v>890</v>
      </c>
      <c r="D108" s="20" t="s">
        <v>309</v>
      </c>
      <c r="E108" t="s">
        <v>453</v>
      </c>
    </row>
    <row r="109" spans="1:5" x14ac:dyDescent="0.3">
      <c r="A109" t="s">
        <v>307</v>
      </c>
      <c r="B109" s="20" t="s">
        <v>168</v>
      </c>
      <c r="C109" s="20">
        <v>60</v>
      </c>
      <c r="D109" s="20" t="s">
        <v>182</v>
      </c>
      <c r="E109" t="s">
        <v>453</v>
      </c>
    </row>
    <row r="110" spans="1:5" x14ac:dyDescent="0.3">
      <c r="A110" t="s">
        <v>308</v>
      </c>
      <c r="B110" s="20" t="s">
        <v>134</v>
      </c>
      <c r="C110" s="20">
        <v>11.941543440928031</v>
      </c>
      <c r="D110" s="20" t="s">
        <v>135</v>
      </c>
      <c r="E110" t="s">
        <v>312</v>
      </c>
    </row>
    <row r="111" spans="1:5" x14ac:dyDescent="0.3">
      <c r="A111" s="22" t="s">
        <v>455</v>
      </c>
      <c r="B111" s="23" t="s">
        <v>456</v>
      </c>
      <c r="C111" s="23">
        <v>241</v>
      </c>
      <c r="D111" s="23" t="s">
        <v>457</v>
      </c>
      <c r="E111" s="24" t="s">
        <v>479</v>
      </c>
    </row>
    <row r="112" spans="1:5" x14ac:dyDescent="0.3">
      <c r="A112" s="22" t="s">
        <v>458</v>
      </c>
      <c r="B112" s="23" t="s">
        <v>456</v>
      </c>
      <c r="C112" s="29">
        <v>186</v>
      </c>
      <c r="D112" s="23" t="s">
        <v>457</v>
      </c>
      <c r="E112" s="22" t="s">
        <v>479</v>
      </c>
    </row>
    <row r="113" spans="1:5" x14ac:dyDescent="0.3">
      <c r="A113" s="22" t="s">
        <v>459</v>
      </c>
      <c r="B113" s="23" t="s">
        <v>456</v>
      </c>
      <c r="C113" s="23">
        <v>462</v>
      </c>
      <c r="D113" s="23" t="s">
        <v>457</v>
      </c>
      <c r="E113" s="24" t="s">
        <v>479</v>
      </c>
    </row>
    <row r="114" spans="1:5" x14ac:dyDescent="0.3">
      <c r="A114" s="22" t="s">
        <v>481</v>
      </c>
      <c r="B114" s="23" t="s">
        <v>456</v>
      </c>
      <c r="C114" s="23">
        <v>30</v>
      </c>
      <c r="D114" s="23" t="s">
        <v>457</v>
      </c>
      <c r="E114" s="22" t="s">
        <v>491</v>
      </c>
    </row>
    <row r="115" spans="1:5" x14ac:dyDescent="0.3">
      <c r="A115" s="24" t="s">
        <v>509</v>
      </c>
      <c r="B115" s="25" t="s">
        <v>456</v>
      </c>
      <c r="C115" s="25">
        <v>9.5</v>
      </c>
      <c r="D115" s="25" t="s">
        <v>457</v>
      </c>
      <c r="E115" s="24" t="s">
        <v>491</v>
      </c>
    </row>
    <row r="116" spans="1:5" x14ac:dyDescent="0.3">
      <c r="A116" s="22" t="s">
        <v>510</v>
      </c>
      <c r="B116" s="23" t="s">
        <v>456</v>
      </c>
      <c r="C116" s="23">
        <v>2.5</v>
      </c>
      <c r="D116" s="23" t="s">
        <v>457</v>
      </c>
      <c r="E116" s="22" t="s">
        <v>491</v>
      </c>
    </row>
    <row r="117" spans="1:5" x14ac:dyDescent="0.3">
      <c r="A117" s="22" t="s">
        <v>460</v>
      </c>
      <c r="B117" s="23" t="s">
        <v>456</v>
      </c>
      <c r="C117" s="26">
        <v>68900</v>
      </c>
      <c r="D117" s="23" t="s">
        <v>457</v>
      </c>
      <c r="E117" s="24" t="s">
        <v>480</v>
      </c>
    </row>
    <row r="118" spans="1:5" x14ac:dyDescent="0.3">
      <c r="A118" s="22" t="s">
        <v>524</v>
      </c>
      <c r="B118" s="23" t="s">
        <v>456</v>
      </c>
      <c r="C118" s="23">
        <v>40</v>
      </c>
      <c r="D118" s="23" t="s">
        <v>457</v>
      </c>
      <c r="E118" s="24" t="s">
        <v>525</v>
      </c>
    </row>
    <row r="119" spans="1:5" x14ac:dyDescent="0.3">
      <c r="A119" s="22" t="s">
        <v>476</v>
      </c>
      <c r="B119" s="23" t="s">
        <v>56</v>
      </c>
      <c r="C119" s="23">
        <v>0.14799999999999999</v>
      </c>
      <c r="D119" s="23" t="s">
        <v>59</v>
      </c>
      <c r="E119" s="22" t="s">
        <v>478</v>
      </c>
    </row>
    <row r="120" spans="1:5" x14ac:dyDescent="0.3">
      <c r="A120" s="22" t="s">
        <v>461</v>
      </c>
      <c r="B120" s="23" t="s">
        <v>56</v>
      </c>
      <c r="C120" s="23">
        <v>4.0000000000000001E-3</v>
      </c>
      <c r="D120" s="23" t="s">
        <v>59</v>
      </c>
      <c r="E120" s="24"/>
    </row>
    <row r="121" spans="1:5" x14ac:dyDescent="0.3">
      <c r="A121" s="22" t="s">
        <v>462</v>
      </c>
      <c r="B121" s="23" t="s">
        <v>56</v>
      </c>
      <c r="C121" s="23">
        <v>0.04</v>
      </c>
      <c r="D121" s="23" t="s">
        <v>59</v>
      </c>
      <c r="E121" s="22"/>
    </row>
    <row r="122" spans="1:5" x14ac:dyDescent="0.3">
      <c r="A122" s="22" t="s">
        <v>463</v>
      </c>
      <c r="B122" s="23" t="s">
        <v>56</v>
      </c>
      <c r="C122" s="23">
        <v>2.3E-2</v>
      </c>
      <c r="D122" s="23" t="s">
        <v>59</v>
      </c>
      <c r="E122" s="24"/>
    </row>
    <row r="123" spans="1:5" x14ac:dyDescent="0.3">
      <c r="A123" s="22" t="s">
        <v>464</v>
      </c>
      <c r="B123" s="23" t="s">
        <v>56</v>
      </c>
      <c r="C123" s="23">
        <v>50</v>
      </c>
      <c r="D123" s="23" t="s">
        <v>23</v>
      </c>
      <c r="E123" s="22"/>
    </row>
    <row r="124" spans="1:5" x14ac:dyDescent="0.3">
      <c r="A124" s="22" t="s">
        <v>465</v>
      </c>
      <c r="B124" s="23" t="s">
        <v>56</v>
      </c>
      <c r="C124" s="23">
        <v>0.09</v>
      </c>
      <c r="D124" s="23" t="s">
        <v>59</v>
      </c>
      <c r="E124" s="24"/>
    </row>
    <row r="125" spans="1:5" x14ac:dyDescent="0.3">
      <c r="A125" s="22" t="s">
        <v>466</v>
      </c>
      <c r="B125" s="23" t="s">
        <v>56</v>
      </c>
      <c r="C125" s="23">
        <f>0.25*0.0254</f>
        <v>6.3499999999999997E-3</v>
      </c>
      <c r="D125" s="23" t="s">
        <v>59</v>
      </c>
      <c r="E125" s="22"/>
    </row>
    <row r="126" spans="1:5" x14ac:dyDescent="0.3">
      <c r="A126" s="22" t="s">
        <v>467</v>
      </c>
      <c r="B126" s="23" t="s">
        <v>56</v>
      </c>
      <c r="C126" s="23">
        <v>1.2699999999999999E-2</v>
      </c>
      <c r="D126" s="23" t="s">
        <v>59</v>
      </c>
      <c r="E126" s="24"/>
    </row>
    <row r="127" spans="1:5" x14ac:dyDescent="0.3">
      <c r="A127" s="22" t="s">
        <v>468</v>
      </c>
      <c r="B127" s="23" t="s">
        <v>56</v>
      </c>
      <c r="C127" s="23">
        <v>0.76</v>
      </c>
      <c r="D127" s="23" t="s">
        <v>59</v>
      </c>
      <c r="E127" s="22"/>
    </row>
    <row r="128" spans="1:5" x14ac:dyDescent="0.3">
      <c r="A128" s="22" t="s">
        <v>469</v>
      </c>
      <c r="B128" s="23" t="s">
        <v>56</v>
      </c>
      <c r="C128" s="23">
        <v>1.524E-3</v>
      </c>
      <c r="D128" s="23" t="s">
        <v>59</v>
      </c>
      <c r="E128" s="24"/>
    </row>
    <row r="129" spans="1:5" x14ac:dyDescent="0.3">
      <c r="A129" s="22" t="s">
        <v>470</v>
      </c>
      <c r="B129" s="23" t="s">
        <v>56</v>
      </c>
      <c r="C129" s="23">
        <v>1.2699999999999999E-2</v>
      </c>
      <c r="D129" s="23" t="s">
        <v>59</v>
      </c>
      <c r="E129" s="22"/>
    </row>
    <row r="130" spans="1:5" x14ac:dyDescent="0.3">
      <c r="A130" s="22" t="s">
        <v>471</v>
      </c>
      <c r="B130" s="23" t="s">
        <v>56</v>
      </c>
      <c r="C130" s="23">
        <v>0.56499999999999995</v>
      </c>
      <c r="D130" s="23" t="s">
        <v>59</v>
      </c>
      <c r="E130" s="24" t="s">
        <v>511</v>
      </c>
    </row>
    <row r="131" spans="1:5" x14ac:dyDescent="0.3">
      <c r="A131" s="22" t="s">
        <v>472</v>
      </c>
      <c r="B131" s="23" t="s">
        <v>56</v>
      </c>
      <c r="C131" s="23">
        <v>1.524E-3</v>
      </c>
      <c r="D131" s="23" t="s">
        <v>59</v>
      </c>
      <c r="E131" s="22"/>
    </row>
    <row r="132" spans="1:5" x14ac:dyDescent="0.3">
      <c r="A132" s="22" t="s">
        <v>473</v>
      </c>
      <c r="B132" s="23" t="s">
        <v>56</v>
      </c>
      <c r="C132" s="23">
        <v>8.9999999999999993E-3</v>
      </c>
      <c r="D132" s="23" t="s">
        <v>59</v>
      </c>
      <c r="E132" s="24"/>
    </row>
    <row r="133" spans="1:5" x14ac:dyDescent="0.3">
      <c r="A133" s="22" t="s">
        <v>474</v>
      </c>
      <c r="B133" s="23" t="s">
        <v>56</v>
      </c>
      <c r="C133" s="23">
        <v>4.3E-3</v>
      </c>
      <c r="D133" s="23" t="s">
        <v>59</v>
      </c>
      <c r="E133" s="22"/>
    </row>
    <row r="134" spans="1:5" x14ac:dyDescent="0.3">
      <c r="A134" s="24" t="s">
        <v>512</v>
      </c>
      <c r="B134" s="25" t="s">
        <v>56</v>
      </c>
      <c r="C134" s="25">
        <v>4.0000000000000001E-3</v>
      </c>
      <c r="D134" s="25" t="s">
        <v>59</v>
      </c>
      <c r="E134" s="24"/>
    </row>
    <row r="135" spans="1:5" x14ac:dyDescent="0.3">
      <c r="A135" t="s">
        <v>521</v>
      </c>
      <c r="B135" s="20" t="s">
        <v>56</v>
      </c>
      <c r="C135" s="20">
        <v>2E-3</v>
      </c>
      <c r="D135" s="20" t="s">
        <v>59</v>
      </c>
    </row>
    <row r="136" spans="1:5" x14ac:dyDescent="0.3">
      <c r="A136" t="s">
        <v>522</v>
      </c>
      <c r="B136" s="20" t="s">
        <v>56</v>
      </c>
      <c r="C136" s="20">
        <f>C129+2*C135</f>
        <v>1.67E-2</v>
      </c>
      <c r="D136" s="20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0"/>
  <sheetViews>
    <sheetView tabSelected="1" zoomScale="130" zoomScaleNormal="130" workbookViewId="0">
      <selection activeCell="D113" sqref="D113"/>
    </sheetView>
  </sheetViews>
  <sheetFormatPr defaultRowHeight="14.4" x14ac:dyDescent="0.3"/>
  <cols>
    <col min="1" max="1" width="37.5546875" customWidth="1"/>
    <col min="2" max="2" width="11.5546875" customWidth="1"/>
    <col min="3" max="3" width="29.88671875" customWidth="1"/>
    <col min="4" max="4" width="5.21875" customWidth="1"/>
    <col min="5" max="5" width="42.77734375" customWidth="1"/>
    <col min="6" max="6" width="29.21875" customWidth="1"/>
    <col min="7" max="7" width="9.109375"/>
    <col min="8" max="8" width="40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374</v>
      </c>
      <c r="H1" t="s">
        <v>526</v>
      </c>
    </row>
    <row r="2" spans="1:8" x14ac:dyDescent="0.3">
      <c r="A2" t="s">
        <v>313</v>
      </c>
      <c r="B2" t="s">
        <v>7</v>
      </c>
      <c r="C2">
        <v>0.3</v>
      </c>
      <c r="D2" t="s">
        <v>8</v>
      </c>
      <c r="E2" t="s">
        <v>346</v>
      </c>
      <c r="F2" t="s">
        <v>375</v>
      </c>
    </row>
    <row r="3" spans="1:8" x14ac:dyDescent="0.3">
      <c r="A3" t="s">
        <v>314</v>
      </c>
      <c r="B3" t="s">
        <v>7</v>
      </c>
      <c r="C3">
        <v>1.1818181818181817</v>
      </c>
      <c r="D3" t="s">
        <v>8</v>
      </c>
      <c r="E3" t="s">
        <v>347</v>
      </c>
      <c r="F3" t="s">
        <v>375</v>
      </c>
    </row>
    <row r="4" spans="1:8" x14ac:dyDescent="0.3">
      <c r="A4" t="s">
        <v>315</v>
      </c>
      <c r="B4" t="s">
        <v>7</v>
      </c>
      <c r="C4">
        <v>0.92582241145109656</v>
      </c>
      <c r="D4" t="s">
        <v>8</v>
      </c>
      <c r="E4" t="s">
        <v>348</v>
      </c>
      <c r="F4" t="s">
        <v>375</v>
      </c>
    </row>
    <row r="5" spans="1:8" x14ac:dyDescent="0.3">
      <c r="A5" t="s">
        <v>316</v>
      </c>
      <c r="B5" t="s">
        <v>7</v>
      </c>
      <c r="C5">
        <v>8.0941856394028303E-2</v>
      </c>
      <c r="D5" t="s">
        <v>8</v>
      </c>
      <c r="E5" t="s">
        <v>349</v>
      </c>
      <c r="F5" t="s">
        <v>375</v>
      </c>
    </row>
    <row r="6" spans="1:8" x14ac:dyDescent="0.3">
      <c r="A6" t="s">
        <v>317</v>
      </c>
      <c r="B6" t="s">
        <v>7</v>
      </c>
      <c r="C6">
        <v>0.19588300688233271</v>
      </c>
      <c r="D6" t="s">
        <v>8</v>
      </c>
      <c r="E6" t="s">
        <v>350</v>
      </c>
      <c r="F6" t="s">
        <v>375</v>
      </c>
    </row>
    <row r="7" spans="1:8" x14ac:dyDescent="0.3">
      <c r="A7" t="s">
        <v>318</v>
      </c>
      <c r="B7" t="s">
        <v>7</v>
      </c>
      <c r="C7">
        <v>3.1335225950127228E-2</v>
      </c>
      <c r="F7" t="s">
        <v>375</v>
      </c>
    </row>
    <row r="8" spans="1:8" x14ac:dyDescent="0.3">
      <c r="A8" t="s">
        <v>319</v>
      </c>
      <c r="B8" t="s">
        <v>7</v>
      </c>
      <c r="C8">
        <v>3.8619993025589772E-2</v>
      </c>
      <c r="D8" t="s">
        <v>8</v>
      </c>
      <c r="E8" t="s">
        <v>351</v>
      </c>
      <c r="F8" t="s">
        <v>375</v>
      </c>
    </row>
    <row r="9" spans="1:8" x14ac:dyDescent="0.3">
      <c r="A9" t="s">
        <v>320</v>
      </c>
      <c r="B9" t="s">
        <v>7</v>
      </c>
      <c r="C9">
        <v>3.8619993025589772E-2</v>
      </c>
      <c r="D9" t="s">
        <v>8</v>
      </c>
      <c r="E9" t="s">
        <v>352</v>
      </c>
      <c r="F9" t="s">
        <v>375</v>
      </c>
    </row>
    <row r="10" spans="1:8" x14ac:dyDescent="0.3">
      <c r="A10" t="s">
        <v>321</v>
      </c>
      <c r="B10" t="s">
        <v>7</v>
      </c>
      <c r="C10">
        <v>2.3619993025589772E-2</v>
      </c>
      <c r="D10" t="s">
        <v>8</v>
      </c>
      <c r="E10" t="s">
        <v>353</v>
      </c>
      <c r="F10" t="s">
        <v>375</v>
      </c>
    </row>
    <row r="11" spans="1:8" x14ac:dyDescent="0.3">
      <c r="A11" t="s">
        <v>322</v>
      </c>
      <c r="B11" t="s">
        <v>7</v>
      </c>
      <c r="C11">
        <v>7.7679972598964149</v>
      </c>
      <c r="D11" t="s">
        <v>8</v>
      </c>
      <c r="E11" t="s">
        <v>354</v>
      </c>
      <c r="F11" t="s">
        <v>375</v>
      </c>
    </row>
    <row r="12" spans="1:8" x14ac:dyDescent="0.3">
      <c r="A12" t="s">
        <v>323</v>
      </c>
      <c r="B12" t="s">
        <v>7</v>
      </c>
      <c r="C12">
        <v>9.9281197918699284</v>
      </c>
      <c r="D12" t="s">
        <v>8</v>
      </c>
      <c r="E12" t="s">
        <v>355</v>
      </c>
      <c r="F12" t="s">
        <v>375</v>
      </c>
    </row>
    <row r="13" spans="1:8" x14ac:dyDescent="0.3">
      <c r="A13" t="s">
        <v>378</v>
      </c>
      <c r="B13" t="s">
        <v>7</v>
      </c>
      <c r="C13">
        <v>3.0198549799930445</v>
      </c>
      <c r="F13" t="s">
        <v>375</v>
      </c>
    </row>
    <row r="14" spans="1:8" x14ac:dyDescent="0.3">
      <c r="A14" t="s">
        <v>379</v>
      </c>
      <c r="B14" t="s">
        <v>7</v>
      </c>
      <c r="C14">
        <v>3.9888876554460642</v>
      </c>
      <c r="F14" t="s">
        <v>375</v>
      </c>
    </row>
    <row r="15" spans="1:8" x14ac:dyDescent="0.3">
      <c r="A15" t="s">
        <v>380</v>
      </c>
      <c r="B15" t="s">
        <v>7</v>
      </c>
      <c r="C15">
        <v>0.59783680842556775</v>
      </c>
      <c r="F15" t="s">
        <v>375</v>
      </c>
    </row>
    <row r="16" spans="1:8" x14ac:dyDescent="0.3">
      <c r="A16" t="s">
        <v>381</v>
      </c>
      <c r="B16" t="s">
        <v>7</v>
      </c>
      <c r="C16">
        <v>5.2033621722920103</v>
      </c>
      <c r="F16" t="s">
        <v>375</v>
      </c>
    </row>
    <row r="17" spans="1:6" x14ac:dyDescent="0.3">
      <c r="A17" t="s">
        <v>382</v>
      </c>
      <c r="B17" t="s">
        <v>7</v>
      </c>
      <c r="C17">
        <v>-9.6561353939117869E-2</v>
      </c>
      <c r="F17" t="s">
        <v>375</v>
      </c>
    </row>
    <row r="18" spans="1:6" x14ac:dyDescent="0.3">
      <c r="A18" t="s">
        <v>383</v>
      </c>
      <c r="B18" t="s">
        <v>7</v>
      </c>
      <c r="C18">
        <v>0.66074594914354523</v>
      </c>
      <c r="F18" t="s">
        <v>375</v>
      </c>
    </row>
    <row r="19" spans="1:6" x14ac:dyDescent="0.3">
      <c r="A19" t="s">
        <v>384</v>
      </c>
      <c r="B19" t="s">
        <v>7</v>
      </c>
      <c r="C19">
        <v>0.60899778104422941</v>
      </c>
      <c r="F19" t="s">
        <v>375</v>
      </c>
    </row>
    <row r="20" spans="1:6" x14ac:dyDescent="0.3">
      <c r="A20" t="s">
        <v>385</v>
      </c>
      <c r="B20" t="s">
        <v>7</v>
      </c>
      <c r="C20">
        <v>1.5753270213496304</v>
      </c>
      <c r="F20" t="s">
        <v>375</v>
      </c>
    </row>
    <row r="21" spans="1:6" x14ac:dyDescent="0.3">
      <c r="A21" t="s">
        <v>386</v>
      </c>
      <c r="B21" t="s">
        <v>7</v>
      </c>
      <c r="C21">
        <v>0.66074594914354523</v>
      </c>
      <c r="F21" t="s">
        <v>375</v>
      </c>
    </row>
    <row r="22" spans="1:6" x14ac:dyDescent="0.3">
      <c r="A22" t="s">
        <v>387</v>
      </c>
      <c r="B22" t="s">
        <v>7</v>
      </c>
      <c r="C22">
        <v>0.12602616170797043</v>
      </c>
      <c r="F22" t="s">
        <v>375</v>
      </c>
    </row>
    <row r="23" spans="1:6" x14ac:dyDescent="0.3">
      <c r="A23" t="s">
        <v>454</v>
      </c>
      <c r="B23" t="s">
        <v>7</v>
      </c>
      <c r="C23">
        <v>0.78050169904696809</v>
      </c>
      <c r="F23" t="s">
        <v>375</v>
      </c>
    </row>
    <row r="24" spans="1:6" x14ac:dyDescent="0.3">
      <c r="A24" t="s">
        <v>324</v>
      </c>
      <c r="B24" t="s">
        <v>56</v>
      </c>
      <c r="C24">
        <v>0.50145310681164035</v>
      </c>
      <c r="D24" t="s">
        <v>66</v>
      </c>
      <c r="E24" t="s">
        <v>356</v>
      </c>
      <c r="F24" t="s">
        <v>375</v>
      </c>
    </row>
    <row r="25" spans="1:6" x14ac:dyDescent="0.3">
      <c r="A25" t="s">
        <v>325</v>
      </c>
      <c r="B25" t="s">
        <v>56</v>
      </c>
      <c r="C25">
        <v>0.3531359907124228</v>
      </c>
      <c r="D25" t="s">
        <v>59</v>
      </c>
      <c r="E25" t="s">
        <v>357</v>
      </c>
      <c r="F25" t="s">
        <v>375</v>
      </c>
    </row>
    <row r="26" spans="1:6" x14ac:dyDescent="0.3">
      <c r="A26" t="s">
        <v>326</v>
      </c>
      <c r="B26" t="s">
        <v>56</v>
      </c>
      <c r="C26">
        <v>4.2476554059921039</v>
      </c>
      <c r="D26" t="s">
        <v>8</v>
      </c>
      <c r="E26" t="s">
        <v>358</v>
      </c>
      <c r="F26" t="s">
        <v>375</v>
      </c>
    </row>
    <row r="27" spans="1:6" x14ac:dyDescent="0.3">
      <c r="A27" t="s">
        <v>327</v>
      </c>
      <c r="B27" t="s">
        <v>56</v>
      </c>
      <c r="C27">
        <v>8.5247028157978869E-2</v>
      </c>
      <c r="D27" t="s">
        <v>66</v>
      </c>
      <c r="E27" t="s">
        <v>359</v>
      </c>
      <c r="F27" t="s">
        <v>375</v>
      </c>
    </row>
    <row r="28" spans="1:6" x14ac:dyDescent="0.3">
      <c r="A28" t="s">
        <v>328</v>
      </c>
      <c r="B28" t="s">
        <v>56</v>
      </c>
      <c r="C28">
        <v>0.46164658603194192</v>
      </c>
      <c r="D28" t="s">
        <v>59</v>
      </c>
      <c r="E28" t="s">
        <v>360</v>
      </c>
      <c r="F28" t="s">
        <v>375</v>
      </c>
    </row>
    <row r="29" spans="1:6" x14ac:dyDescent="0.3">
      <c r="A29" t="s">
        <v>329</v>
      </c>
      <c r="B29" t="s">
        <v>56</v>
      </c>
      <c r="C29">
        <v>0.18465863441277677</v>
      </c>
      <c r="D29" t="s">
        <v>59</v>
      </c>
      <c r="E29" t="s">
        <v>361</v>
      </c>
      <c r="F29" t="s">
        <v>375</v>
      </c>
    </row>
    <row r="30" spans="1:6" x14ac:dyDescent="0.3">
      <c r="A30" t="s">
        <v>330</v>
      </c>
      <c r="B30" t="s">
        <v>56</v>
      </c>
      <c r="C30">
        <v>0.38512075680995078</v>
      </c>
      <c r="D30" t="s">
        <v>8</v>
      </c>
      <c r="E30" t="s">
        <v>362</v>
      </c>
      <c r="F30" t="s">
        <v>375</v>
      </c>
    </row>
    <row r="31" spans="1:6" x14ac:dyDescent="0.3">
      <c r="A31" t="s">
        <v>331</v>
      </c>
      <c r="B31" t="s">
        <v>56</v>
      </c>
      <c r="C31">
        <v>7.5217966021746033E-2</v>
      </c>
      <c r="D31" t="s">
        <v>66</v>
      </c>
      <c r="E31" t="s">
        <v>363</v>
      </c>
      <c r="F31" t="s">
        <v>375</v>
      </c>
    </row>
    <row r="32" spans="1:6" x14ac:dyDescent="0.3">
      <c r="A32" t="s">
        <v>332</v>
      </c>
      <c r="B32" t="s">
        <v>56</v>
      </c>
      <c r="C32">
        <v>7.5217966021746033E-2</v>
      </c>
      <c r="D32" t="s">
        <v>66</v>
      </c>
      <c r="E32" t="s">
        <v>364</v>
      </c>
      <c r="F32" t="s">
        <v>375</v>
      </c>
    </row>
    <row r="33" spans="1:6" x14ac:dyDescent="0.3">
      <c r="A33" t="s">
        <v>333</v>
      </c>
      <c r="B33" t="s">
        <v>56</v>
      </c>
      <c r="C33">
        <v>0.28369565319769752</v>
      </c>
      <c r="D33" t="s">
        <v>59</v>
      </c>
      <c r="E33" t="s">
        <v>365</v>
      </c>
      <c r="F33" t="s">
        <v>375</v>
      </c>
    </row>
    <row r="34" spans="1:6" x14ac:dyDescent="0.3">
      <c r="A34" t="s">
        <v>334</v>
      </c>
      <c r="B34" t="s">
        <v>56</v>
      </c>
      <c r="C34">
        <v>0.26513612448382945</v>
      </c>
      <c r="D34" t="s">
        <v>59</v>
      </c>
      <c r="E34" t="s">
        <v>366</v>
      </c>
      <c r="F34" t="s">
        <v>375</v>
      </c>
    </row>
    <row r="35" spans="1:6" x14ac:dyDescent="0.3">
      <c r="A35" t="s">
        <v>388</v>
      </c>
      <c r="B35" t="s">
        <v>56</v>
      </c>
      <c r="C35">
        <v>2.8568191064456228E-2</v>
      </c>
      <c r="F35" t="s">
        <v>375</v>
      </c>
    </row>
    <row r="36" spans="1:6" x14ac:dyDescent="0.3">
      <c r="A36" t="s">
        <v>389</v>
      </c>
      <c r="B36" t="s">
        <v>56</v>
      </c>
      <c r="C36">
        <v>0.23237691205670161</v>
      </c>
      <c r="F36" t="s">
        <v>375</v>
      </c>
    </row>
    <row r="37" spans="1:6" x14ac:dyDescent="0.3">
      <c r="A37" t="s">
        <v>390</v>
      </c>
      <c r="B37" t="s">
        <v>56</v>
      </c>
      <c r="C37">
        <v>0.3614852233974003</v>
      </c>
      <c r="F37" t="s">
        <v>375</v>
      </c>
    </row>
    <row r="38" spans="1:6" x14ac:dyDescent="0.3">
      <c r="A38" t="s">
        <v>391</v>
      </c>
      <c r="B38" t="s">
        <v>56</v>
      </c>
      <c r="C38">
        <v>0.21148522339740031</v>
      </c>
      <c r="F38" t="s">
        <v>375</v>
      </c>
    </row>
    <row r="39" spans="1:6" x14ac:dyDescent="0.3">
      <c r="A39" t="s">
        <v>165</v>
      </c>
      <c r="B39" t="s">
        <v>134</v>
      </c>
      <c r="C39">
        <v>4.8546281926201837</v>
      </c>
      <c r="F39" t="s">
        <v>376</v>
      </c>
    </row>
    <row r="40" spans="1:6" x14ac:dyDescent="0.3">
      <c r="A40" t="s">
        <v>335</v>
      </c>
      <c r="B40" t="s">
        <v>134</v>
      </c>
      <c r="C40">
        <v>22.737783592977756</v>
      </c>
      <c r="D40" t="s">
        <v>135</v>
      </c>
      <c r="E40" t="s">
        <v>367</v>
      </c>
      <c r="F40" t="s">
        <v>375</v>
      </c>
    </row>
    <row r="41" spans="1:6" x14ac:dyDescent="0.3">
      <c r="A41" t="s">
        <v>336</v>
      </c>
      <c r="B41" t="s">
        <v>134</v>
      </c>
      <c r="C41">
        <v>11</v>
      </c>
      <c r="D41" t="s">
        <v>135</v>
      </c>
      <c r="E41" t="s">
        <v>368</v>
      </c>
      <c r="F41" t="s">
        <v>375</v>
      </c>
    </row>
    <row r="42" spans="1:6" x14ac:dyDescent="0.3">
      <c r="A42" t="s">
        <v>337</v>
      </c>
      <c r="B42" t="s">
        <v>134</v>
      </c>
      <c r="C42">
        <v>14.810748414335091</v>
      </c>
      <c r="D42" t="s">
        <v>135</v>
      </c>
      <c r="E42" t="s">
        <v>369</v>
      </c>
      <c r="F42" t="s">
        <v>375</v>
      </c>
    </row>
    <row r="43" spans="1:6" x14ac:dyDescent="0.3">
      <c r="A43" t="s">
        <v>338</v>
      </c>
      <c r="B43" t="s">
        <v>134</v>
      </c>
      <c r="C43">
        <v>12.24744871391589</v>
      </c>
      <c r="D43" t="s">
        <v>135</v>
      </c>
      <c r="E43" t="s">
        <v>370</v>
      </c>
      <c r="F43" t="s">
        <v>375</v>
      </c>
    </row>
    <row r="44" spans="1:6" x14ac:dyDescent="0.3">
      <c r="A44" t="s">
        <v>339</v>
      </c>
      <c r="B44" t="s">
        <v>134</v>
      </c>
      <c r="C44">
        <v>48.189685104221404</v>
      </c>
      <c r="D44" t="s">
        <v>23</v>
      </c>
      <c r="E44" t="s">
        <v>371</v>
      </c>
      <c r="F44" t="s">
        <v>375</v>
      </c>
    </row>
    <row r="45" spans="1:6" x14ac:dyDescent="0.3">
      <c r="A45" t="s">
        <v>340</v>
      </c>
      <c r="B45" t="s">
        <v>134</v>
      </c>
      <c r="C45">
        <v>16.699244233993625</v>
      </c>
      <c r="D45" t="s">
        <v>23</v>
      </c>
      <c r="E45" t="s">
        <v>372</v>
      </c>
      <c r="F45" t="s">
        <v>375</v>
      </c>
    </row>
    <row r="46" spans="1:6" x14ac:dyDescent="0.3">
      <c r="A46" t="s">
        <v>341</v>
      </c>
      <c r="B46" t="s">
        <v>134</v>
      </c>
      <c r="C46">
        <v>47.623902569604006</v>
      </c>
      <c r="D46" t="s">
        <v>345</v>
      </c>
      <c r="E46" t="s">
        <v>373</v>
      </c>
      <c r="F46" t="s">
        <v>375</v>
      </c>
    </row>
    <row r="47" spans="1:6" x14ac:dyDescent="0.3">
      <c r="A47" t="s">
        <v>342</v>
      </c>
      <c r="B47" t="s">
        <v>134</v>
      </c>
      <c r="C47">
        <v>0.4509256385240365</v>
      </c>
      <c r="F47" t="s">
        <v>375</v>
      </c>
    </row>
    <row r="48" spans="1:6" x14ac:dyDescent="0.3">
      <c r="A48" t="s">
        <v>343</v>
      </c>
      <c r="B48" t="s">
        <v>134</v>
      </c>
      <c r="C48">
        <v>237637.81150216723</v>
      </c>
      <c r="F48" t="s">
        <v>375</v>
      </c>
    </row>
    <row r="49" spans="1:6" x14ac:dyDescent="0.3">
      <c r="A49" t="s">
        <v>344</v>
      </c>
      <c r="B49" t="s">
        <v>134</v>
      </c>
      <c r="C49">
        <v>133077.17444121366</v>
      </c>
      <c r="F49" t="s">
        <v>375</v>
      </c>
    </row>
    <row r="50" spans="1:6" x14ac:dyDescent="0.3">
      <c r="A50" t="s">
        <v>392</v>
      </c>
      <c r="B50" t="s">
        <v>134</v>
      </c>
      <c r="C50">
        <v>34.655879425474303</v>
      </c>
      <c r="F50" t="s">
        <v>375</v>
      </c>
    </row>
    <row r="51" spans="1:6" x14ac:dyDescent="0.3">
      <c r="A51" t="s">
        <v>393</v>
      </c>
      <c r="B51" t="s">
        <v>134</v>
      </c>
      <c r="C51">
        <v>15.682651825415947</v>
      </c>
      <c r="F51" t="s">
        <v>375</v>
      </c>
    </row>
    <row r="52" spans="1:6" x14ac:dyDescent="0.3">
      <c r="A52" t="s">
        <v>394</v>
      </c>
      <c r="B52" t="s">
        <v>134</v>
      </c>
      <c r="C52">
        <v>3.8</v>
      </c>
      <c r="F52" t="s">
        <v>375</v>
      </c>
    </row>
    <row r="53" spans="1:6" x14ac:dyDescent="0.3">
      <c r="A53" t="s">
        <v>395</v>
      </c>
      <c r="B53" t="s">
        <v>134</v>
      </c>
      <c r="C53">
        <v>-1.52</v>
      </c>
      <c r="F53" t="s">
        <v>375</v>
      </c>
    </row>
    <row r="54" spans="1:6" x14ac:dyDescent="0.3">
      <c r="A54" t="s">
        <v>396</v>
      </c>
      <c r="B54" t="s">
        <v>134</v>
      </c>
      <c r="C54">
        <v>5.6999999999999993</v>
      </c>
      <c r="F54" t="s">
        <v>375</v>
      </c>
    </row>
    <row r="55" spans="1:6" x14ac:dyDescent="0.3">
      <c r="A55" t="s">
        <v>397</v>
      </c>
      <c r="B55" t="s">
        <v>134</v>
      </c>
      <c r="C55">
        <v>-2.2800000000000002</v>
      </c>
      <c r="F55" t="s">
        <v>375</v>
      </c>
    </row>
    <row r="56" spans="1:6" x14ac:dyDescent="0.3">
      <c r="A56" t="s">
        <v>398</v>
      </c>
      <c r="B56" t="s">
        <v>134</v>
      </c>
      <c r="C56">
        <v>16.966129707239677</v>
      </c>
      <c r="F56" t="s">
        <v>375</v>
      </c>
    </row>
    <row r="57" spans="1:6" x14ac:dyDescent="0.3">
      <c r="A57" t="s">
        <v>399</v>
      </c>
      <c r="B57" t="s">
        <v>134</v>
      </c>
      <c r="C57">
        <v>24.931681951672573</v>
      </c>
      <c r="F57" t="s">
        <v>375</v>
      </c>
    </row>
    <row r="58" spans="1:6" x14ac:dyDescent="0.3">
      <c r="A58" t="s">
        <v>400</v>
      </c>
      <c r="B58" t="s">
        <v>134</v>
      </c>
      <c r="C58">
        <v>38.987864353658594</v>
      </c>
      <c r="F58" t="s">
        <v>375</v>
      </c>
    </row>
    <row r="59" spans="1:6" x14ac:dyDescent="0.3">
      <c r="A59" t="s">
        <v>401</v>
      </c>
      <c r="B59" t="s">
        <v>134</v>
      </c>
      <c r="C59">
        <v>43.319849281842878</v>
      </c>
      <c r="F59" t="s">
        <v>375</v>
      </c>
    </row>
    <row r="60" spans="1:6" x14ac:dyDescent="0.3">
      <c r="A60" t="s">
        <v>402</v>
      </c>
      <c r="B60" t="s">
        <v>134</v>
      </c>
      <c r="C60">
        <v>3.6377414361906815</v>
      </c>
      <c r="F60" t="s">
        <v>375</v>
      </c>
    </row>
    <row r="61" spans="1:6" x14ac:dyDescent="0.3">
      <c r="A61" t="s">
        <v>403</v>
      </c>
      <c r="B61" t="s">
        <v>263</v>
      </c>
      <c r="C61">
        <v>27.630496754505511</v>
      </c>
      <c r="F61" t="s">
        <v>375</v>
      </c>
    </row>
    <row r="62" spans="1:6" x14ac:dyDescent="0.3">
      <c r="A62" t="s">
        <v>404</v>
      </c>
      <c r="B62" t="s">
        <v>263</v>
      </c>
      <c r="C62">
        <v>0</v>
      </c>
      <c r="F62" t="s">
        <v>375</v>
      </c>
    </row>
    <row r="63" spans="1:6" x14ac:dyDescent="0.3">
      <c r="A63" t="s">
        <v>405</v>
      </c>
      <c r="B63" t="s">
        <v>263</v>
      </c>
      <c r="C63" t="s">
        <v>451</v>
      </c>
      <c r="F63" t="s">
        <v>375</v>
      </c>
    </row>
    <row r="64" spans="1:6" x14ac:dyDescent="0.3">
      <c r="A64" t="s">
        <v>406</v>
      </c>
      <c r="B64" t="s">
        <v>263</v>
      </c>
      <c r="C64">
        <v>72.102440957348392</v>
      </c>
      <c r="F64" t="s">
        <v>375</v>
      </c>
    </row>
    <row r="65" spans="1:6" x14ac:dyDescent="0.3">
      <c r="A65" t="s">
        <v>407</v>
      </c>
      <c r="B65" t="s">
        <v>263</v>
      </c>
      <c r="C65">
        <v>0</v>
      </c>
      <c r="F65" t="s">
        <v>375</v>
      </c>
    </row>
    <row r="66" spans="1:6" x14ac:dyDescent="0.3">
      <c r="A66" t="s">
        <v>408</v>
      </c>
      <c r="B66" t="s">
        <v>263</v>
      </c>
      <c r="C66">
        <v>-1.319188550096897</v>
      </c>
      <c r="F66" t="s">
        <v>375</v>
      </c>
    </row>
    <row r="67" spans="1:6" x14ac:dyDescent="0.3">
      <c r="A67" t="s">
        <v>409</v>
      </c>
      <c r="B67" t="s">
        <v>263</v>
      </c>
      <c r="C67">
        <v>0</v>
      </c>
      <c r="F67" t="s">
        <v>375</v>
      </c>
    </row>
    <row r="68" spans="1:6" x14ac:dyDescent="0.3">
      <c r="A68" t="s">
        <v>410</v>
      </c>
      <c r="B68" t="s">
        <v>263</v>
      </c>
      <c r="C68">
        <v>4.2603031906991697</v>
      </c>
      <c r="F68" t="s">
        <v>375</v>
      </c>
    </row>
    <row r="69" spans="1:6" x14ac:dyDescent="0.3">
      <c r="A69" t="s">
        <v>411</v>
      </c>
      <c r="B69" t="s">
        <v>263</v>
      </c>
      <c r="C69">
        <v>0</v>
      </c>
      <c r="F69" t="s">
        <v>375</v>
      </c>
    </row>
    <row r="70" spans="1:6" x14ac:dyDescent="0.3">
      <c r="A70" t="s">
        <v>412</v>
      </c>
      <c r="B70" t="s">
        <v>263</v>
      </c>
      <c r="C70">
        <v>5.6725107333819</v>
      </c>
      <c r="F70" t="s">
        <v>375</v>
      </c>
    </row>
    <row r="71" spans="1:6" x14ac:dyDescent="0.3">
      <c r="A71" t="s">
        <v>413</v>
      </c>
      <c r="B71" t="s">
        <v>263</v>
      </c>
      <c r="C71">
        <v>5.9726584296289333</v>
      </c>
      <c r="F71" t="s">
        <v>375</v>
      </c>
    </row>
    <row r="72" spans="1:6" x14ac:dyDescent="0.3">
      <c r="A72" t="s">
        <v>414</v>
      </c>
      <c r="B72" t="s">
        <v>263</v>
      </c>
      <c r="C72">
        <v>26.62280764138869</v>
      </c>
      <c r="F72" t="s">
        <v>375</v>
      </c>
    </row>
    <row r="73" spans="1:6" x14ac:dyDescent="0.3">
      <c r="A73" t="s">
        <v>482</v>
      </c>
      <c r="B73" t="s">
        <v>263</v>
      </c>
      <c r="C73">
        <v>47.120013524581758</v>
      </c>
      <c r="F73" t="s">
        <v>375</v>
      </c>
    </row>
    <row r="74" spans="1:6" x14ac:dyDescent="0.3">
      <c r="A74" t="s">
        <v>415</v>
      </c>
      <c r="B74" t="s">
        <v>263</v>
      </c>
      <c r="C74">
        <v>15.78851883984732</v>
      </c>
      <c r="F74" t="s">
        <v>375</v>
      </c>
    </row>
    <row r="75" spans="1:6" x14ac:dyDescent="0.3">
      <c r="A75" t="s">
        <v>416</v>
      </c>
      <c r="B75" t="s">
        <v>263</v>
      </c>
      <c r="C75">
        <v>0.38346429214607308</v>
      </c>
      <c r="F75" t="s">
        <v>375</v>
      </c>
    </row>
    <row r="76" spans="1:6" x14ac:dyDescent="0.3">
      <c r="A76" t="s">
        <v>417</v>
      </c>
      <c r="B76" t="s">
        <v>263</v>
      </c>
      <c r="C76" t="s">
        <v>490</v>
      </c>
      <c r="F76" t="s">
        <v>375</v>
      </c>
    </row>
    <row r="77" spans="1:6" x14ac:dyDescent="0.3">
      <c r="A77" t="s">
        <v>418</v>
      </c>
      <c r="B77" t="s">
        <v>263</v>
      </c>
      <c r="C77">
        <v>210.59818457285559</v>
      </c>
      <c r="F77" t="s">
        <v>375</v>
      </c>
    </row>
    <row r="78" spans="1:6" x14ac:dyDescent="0.3">
      <c r="A78" t="s">
        <v>419</v>
      </c>
      <c r="B78" t="s">
        <v>263</v>
      </c>
      <c r="C78">
        <v>0.249319539769885</v>
      </c>
      <c r="F78" t="s">
        <v>375</v>
      </c>
    </row>
    <row r="79" spans="1:6" x14ac:dyDescent="0.3">
      <c r="A79" t="s">
        <v>420</v>
      </c>
      <c r="B79" t="s">
        <v>263</v>
      </c>
      <c r="C79" t="s">
        <v>452</v>
      </c>
      <c r="F79" t="s">
        <v>375</v>
      </c>
    </row>
    <row r="80" spans="1:6" x14ac:dyDescent="0.3">
      <c r="A80" t="s">
        <v>421</v>
      </c>
      <c r="B80" t="s">
        <v>263</v>
      </c>
      <c r="C80">
        <v>10.35552938735983</v>
      </c>
      <c r="F80" t="s">
        <v>375</v>
      </c>
    </row>
    <row r="81" spans="1:6" x14ac:dyDescent="0.3">
      <c r="A81" t="s">
        <v>422</v>
      </c>
      <c r="B81" t="s">
        <v>263</v>
      </c>
      <c r="C81">
        <v>323.73645427492852</v>
      </c>
      <c r="F81" t="s">
        <v>375</v>
      </c>
    </row>
    <row r="82" spans="1:6" x14ac:dyDescent="0.3">
      <c r="A82" t="s">
        <v>423</v>
      </c>
      <c r="B82" t="s">
        <v>263</v>
      </c>
      <c r="C82">
        <v>20.793297705941828</v>
      </c>
      <c r="F82" t="s">
        <v>375</v>
      </c>
    </row>
    <row r="83" spans="1:6" x14ac:dyDescent="0.3">
      <c r="A83" t="s">
        <v>424</v>
      </c>
      <c r="B83" t="s">
        <v>263</v>
      </c>
      <c r="C83">
        <v>0.30965445458432234</v>
      </c>
      <c r="F83" t="s">
        <v>375</v>
      </c>
    </row>
    <row r="84" spans="1:6" x14ac:dyDescent="0.3">
      <c r="A84" t="s">
        <v>425</v>
      </c>
      <c r="B84" t="s">
        <v>263</v>
      </c>
      <c r="C84">
        <v>3.3914500000000003</v>
      </c>
      <c r="F84" t="s">
        <v>375</v>
      </c>
    </row>
    <row r="85" spans="1:6" x14ac:dyDescent="0.3">
      <c r="A85" t="s">
        <v>426</v>
      </c>
      <c r="B85" t="s">
        <v>263</v>
      </c>
      <c r="C85">
        <v>33.270124500000001</v>
      </c>
      <c r="F85" t="s">
        <v>375</v>
      </c>
    </row>
    <row r="86" spans="1:6" x14ac:dyDescent="0.3">
      <c r="A86" t="s">
        <v>427</v>
      </c>
      <c r="B86" t="s">
        <v>263</v>
      </c>
      <c r="C86">
        <v>16.616876525517039</v>
      </c>
      <c r="F86" t="s">
        <v>375</v>
      </c>
    </row>
    <row r="87" spans="1:6" x14ac:dyDescent="0.3">
      <c r="A87" t="s">
        <v>428</v>
      </c>
      <c r="B87" t="s">
        <v>263</v>
      </c>
      <c r="C87">
        <v>7.8800000000000009E-2</v>
      </c>
      <c r="F87" t="s">
        <v>375</v>
      </c>
    </row>
    <row r="88" spans="1:6" x14ac:dyDescent="0.3">
      <c r="A88" t="s">
        <v>429</v>
      </c>
      <c r="B88" t="s">
        <v>263</v>
      </c>
      <c r="C88">
        <v>51.753621214228787</v>
      </c>
      <c r="F88" t="s">
        <v>375</v>
      </c>
    </row>
    <row r="89" spans="1:6" x14ac:dyDescent="0.3">
      <c r="A89" t="s">
        <v>492</v>
      </c>
      <c r="B89" t="s">
        <v>263</v>
      </c>
      <c r="C89">
        <v>182.17938531024632</v>
      </c>
      <c r="F89" t="s">
        <v>375</v>
      </c>
    </row>
    <row r="90" spans="1:6" x14ac:dyDescent="0.3">
      <c r="A90" t="s">
        <v>493</v>
      </c>
      <c r="B90" t="s">
        <v>263</v>
      </c>
      <c r="C90">
        <v>3.5283725544652502</v>
      </c>
      <c r="F90" t="s">
        <v>375</v>
      </c>
    </row>
    <row r="91" spans="1:6" x14ac:dyDescent="0.3">
      <c r="A91" t="s">
        <v>494</v>
      </c>
      <c r="B91" t="s">
        <v>263</v>
      </c>
      <c r="C91">
        <v>5.1976901145282772</v>
      </c>
      <c r="F91" t="s">
        <v>375</v>
      </c>
    </row>
    <row r="92" spans="1:6" x14ac:dyDescent="0.3">
      <c r="A92" t="s">
        <v>495</v>
      </c>
      <c r="B92" t="s">
        <v>263</v>
      </c>
      <c r="C92">
        <v>182.4016896292334</v>
      </c>
      <c r="F92" t="s">
        <v>375</v>
      </c>
    </row>
    <row r="93" spans="1:6" x14ac:dyDescent="0.3">
      <c r="A93" t="s">
        <v>496</v>
      </c>
      <c r="B93" t="s">
        <v>263</v>
      </c>
      <c r="C93">
        <v>8.7260626689935279</v>
      </c>
      <c r="F93" t="s">
        <v>375</v>
      </c>
    </row>
    <row r="94" spans="1:6" x14ac:dyDescent="0.3">
      <c r="A94" t="s">
        <v>483</v>
      </c>
      <c r="B94" t="s">
        <v>263</v>
      </c>
      <c r="C94">
        <v>0.32125969057566839</v>
      </c>
      <c r="F94" t="s">
        <v>375</v>
      </c>
    </row>
    <row r="95" spans="1:6" x14ac:dyDescent="0.3">
      <c r="A95" t="s">
        <v>484</v>
      </c>
      <c r="B95" t="s">
        <v>263</v>
      </c>
      <c r="C95">
        <v>20.315455441423438</v>
      </c>
      <c r="F95" t="s">
        <v>375</v>
      </c>
    </row>
    <row r="96" spans="1:6" x14ac:dyDescent="0.3">
      <c r="A96" t="s">
        <v>519</v>
      </c>
      <c r="B96" t="s">
        <v>263</v>
      </c>
      <c r="C96">
        <v>4.3293357933508361</v>
      </c>
      <c r="F96" t="s">
        <v>375</v>
      </c>
    </row>
    <row r="97" spans="1:6" x14ac:dyDescent="0.3">
      <c r="A97" t="s">
        <v>520</v>
      </c>
      <c r="B97" t="s">
        <v>263</v>
      </c>
      <c r="C97">
        <v>2.846137178026887E-2</v>
      </c>
      <c r="F97" t="s">
        <v>375</v>
      </c>
    </row>
    <row r="98" spans="1:6" x14ac:dyDescent="0.3">
      <c r="A98" t="s">
        <v>497</v>
      </c>
      <c r="B98" t="s">
        <v>263</v>
      </c>
      <c r="C98">
        <v>175.53527084344745</v>
      </c>
      <c r="F98" t="s">
        <v>375</v>
      </c>
    </row>
    <row r="99" spans="1:6" x14ac:dyDescent="0.3">
      <c r="A99" t="s">
        <v>498</v>
      </c>
      <c r="B99" t="s">
        <v>263</v>
      </c>
      <c r="C99">
        <v>2.3058437450753382</v>
      </c>
      <c r="F99" t="s">
        <v>375</v>
      </c>
    </row>
    <row r="100" spans="1:6" x14ac:dyDescent="0.3">
      <c r="A100" t="s">
        <v>499</v>
      </c>
      <c r="B100" t="s">
        <v>263</v>
      </c>
      <c r="C100">
        <v>23.532669135777482</v>
      </c>
      <c r="F100" t="s">
        <v>375</v>
      </c>
    </row>
    <row r="101" spans="1:6" x14ac:dyDescent="0.3">
      <c r="A101" t="s">
        <v>500</v>
      </c>
      <c r="B101" t="s">
        <v>263</v>
      </c>
      <c r="C101">
        <v>180.20541295988968</v>
      </c>
      <c r="F101" t="s">
        <v>375</v>
      </c>
    </row>
    <row r="102" spans="1:6" x14ac:dyDescent="0.3">
      <c r="A102" t="s">
        <v>501</v>
      </c>
      <c r="B102" t="s">
        <v>263</v>
      </c>
      <c r="C102">
        <v>25.838512880852818</v>
      </c>
      <c r="F102" t="s">
        <v>375</v>
      </c>
    </row>
    <row r="103" spans="1:6" x14ac:dyDescent="0.3">
      <c r="A103" t="s">
        <v>485</v>
      </c>
      <c r="B103" t="s">
        <v>263</v>
      </c>
      <c r="C103">
        <v>0.33736271314803434</v>
      </c>
      <c r="F103" t="s">
        <v>375</v>
      </c>
    </row>
    <row r="104" spans="1:6" x14ac:dyDescent="0.3">
      <c r="A104" t="s">
        <v>486</v>
      </c>
      <c r="B104" t="s">
        <v>263</v>
      </c>
      <c r="C104">
        <v>6.1985566993614434</v>
      </c>
      <c r="F104" t="s">
        <v>375</v>
      </c>
    </row>
    <row r="105" spans="1:6" x14ac:dyDescent="0.3">
      <c r="A105" t="s">
        <v>502</v>
      </c>
      <c r="B105" t="s">
        <v>263</v>
      </c>
      <c r="C105">
        <v>0.46957187967523628</v>
      </c>
      <c r="F105" t="s">
        <v>375</v>
      </c>
    </row>
    <row r="106" spans="1:6" x14ac:dyDescent="0.3">
      <c r="A106" t="s">
        <v>503</v>
      </c>
      <c r="B106" t="s">
        <v>263</v>
      </c>
      <c r="C106">
        <v>0.33682338763133246</v>
      </c>
      <c r="F106" t="s">
        <v>375</v>
      </c>
    </row>
    <row r="107" spans="1:6" x14ac:dyDescent="0.3">
      <c r="A107" t="s">
        <v>504</v>
      </c>
      <c r="B107" t="s">
        <v>263</v>
      </c>
      <c r="C107">
        <v>0.11450290898458269</v>
      </c>
      <c r="F107" t="s">
        <v>375</v>
      </c>
    </row>
    <row r="108" spans="1:6" x14ac:dyDescent="0.3">
      <c r="A108" t="s">
        <v>505</v>
      </c>
      <c r="B108" t="s">
        <v>263</v>
      </c>
      <c r="C108">
        <v>0.45132629661591511</v>
      </c>
      <c r="F108" t="s">
        <v>375</v>
      </c>
    </row>
    <row r="109" spans="1:6" x14ac:dyDescent="0.3">
      <c r="A109" t="s">
        <v>487</v>
      </c>
      <c r="B109" t="s">
        <v>263</v>
      </c>
      <c r="C109">
        <v>62.887982433591418</v>
      </c>
      <c r="F109" t="s">
        <v>375</v>
      </c>
    </row>
    <row r="110" spans="1:6" x14ac:dyDescent="0.3">
      <c r="A110" t="s">
        <v>488</v>
      </c>
      <c r="B110" t="s">
        <v>263</v>
      </c>
      <c r="C110">
        <v>20.049072635988303</v>
      </c>
      <c r="F110" t="s">
        <v>375</v>
      </c>
    </row>
    <row r="111" spans="1:6" x14ac:dyDescent="0.3">
      <c r="A111" t="s">
        <v>506</v>
      </c>
      <c r="B111" t="s">
        <v>263</v>
      </c>
      <c r="C111">
        <v>216.54759148975538</v>
      </c>
      <c r="F111" t="s">
        <v>375</v>
      </c>
    </row>
    <row r="112" spans="1:6" x14ac:dyDescent="0.3">
      <c r="A112" t="s">
        <v>507</v>
      </c>
      <c r="B112" t="s">
        <v>263</v>
      </c>
      <c r="C112">
        <v>2.0217106942854626</v>
      </c>
      <c r="F112" t="s">
        <v>375</v>
      </c>
    </row>
    <row r="113" spans="1:6" x14ac:dyDescent="0.3">
      <c r="A113" t="s">
        <v>508</v>
      </c>
      <c r="B113" t="s">
        <v>263</v>
      </c>
      <c r="C113">
        <v>2.5446250468831417</v>
      </c>
      <c r="F113" t="s">
        <v>375</v>
      </c>
    </row>
    <row r="114" spans="1:6" x14ac:dyDescent="0.3">
      <c r="A114" t="s">
        <v>514</v>
      </c>
      <c r="B114" t="s">
        <v>263</v>
      </c>
      <c r="C114">
        <v>0.10262510605021724</v>
      </c>
      <c r="F114" t="s">
        <v>375</v>
      </c>
    </row>
    <row r="115" spans="1:6" x14ac:dyDescent="0.3">
      <c r="A115" t="s">
        <v>489</v>
      </c>
      <c r="B115" t="s">
        <v>263</v>
      </c>
      <c r="C115">
        <v>72.095248444491872</v>
      </c>
      <c r="F115" t="s">
        <v>375</v>
      </c>
    </row>
    <row r="116" spans="1:6" x14ac:dyDescent="0.3">
      <c r="A116" t="s">
        <v>515</v>
      </c>
      <c r="B116" t="s">
        <v>263</v>
      </c>
      <c r="C116">
        <v>46.311829358431872</v>
      </c>
      <c r="F116" t="s">
        <v>375</v>
      </c>
    </row>
    <row r="117" spans="1:6" x14ac:dyDescent="0.3">
      <c r="A117" t="s">
        <v>516</v>
      </c>
      <c r="B117" t="s">
        <v>263</v>
      </c>
      <c r="C117">
        <v>2.8019142042285794</v>
      </c>
      <c r="F117" t="s">
        <v>375</v>
      </c>
    </row>
    <row r="118" spans="1:6" x14ac:dyDescent="0.3">
      <c r="A118" t="s">
        <v>523</v>
      </c>
      <c r="B118" t="s">
        <v>263</v>
      </c>
      <c r="C118">
        <v>0.19299193437653406</v>
      </c>
      <c r="F118" t="s">
        <v>375</v>
      </c>
    </row>
    <row r="119" spans="1:6" x14ac:dyDescent="0.3">
      <c r="A119" t="s">
        <v>517</v>
      </c>
      <c r="B119" t="s">
        <v>263</v>
      </c>
      <c r="C119">
        <v>221.3736775163259</v>
      </c>
      <c r="F119" t="s">
        <v>375</v>
      </c>
    </row>
    <row r="120" spans="1:6" x14ac:dyDescent="0.3">
      <c r="A120" t="s">
        <v>518</v>
      </c>
      <c r="B120" t="s">
        <v>263</v>
      </c>
      <c r="C120">
        <v>0.92725557606200626</v>
      </c>
      <c r="F120" t="s">
        <v>375</v>
      </c>
    </row>
    <row r="121" spans="1:6" x14ac:dyDescent="0.3">
      <c r="A121" t="s">
        <v>430</v>
      </c>
      <c r="B121" t="s">
        <v>450</v>
      </c>
      <c r="C121">
        <v>0.3</v>
      </c>
      <c r="F121" t="s">
        <v>375</v>
      </c>
    </row>
    <row r="122" spans="1:6" x14ac:dyDescent="0.3">
      <c r="A122" t="s">
        <v>431</v>
      </c>
      <c r="B122" t="s">
        <v>450</v>
      </c>
      <c r="C122">
        <v>27.176996615837602</v>
      </c>
      <c r="F122" t="s">
        <v>375</v>
      </c>
    </row>
    <row r="123" spans="1:6" x14ac:dyDescent="0.3">
      <c r="A123" t="s">
        <v>432</v>
      </c>
      <c r="B123" t="s">
        <v>450</v>
      </c>
      <c r="C123">
        <v>2.8230033841623978</v>
      </c>
      <c r="F123" t="s">
        <v>375</v>
      </c>
    </row>
    <row r="124" spans="1:6" x14ac:dyDescent="0.3">
      <c r="A124" t="s">
        <v>433</v>
      </c>
      <c r="B124" t="s">
        <v>450</v>
      </c>
      <c r="C124">
        <v>0.25</v>
      </c>
      <c r="F124" t="s">
        <v>375</v>
      </c>
    </row>
    <row r="125" spans="1:6" x14ac:dyDescent="0.3">
      <c r="A125" t="s">
        <v>434</v>
      </c>
      <c r="B125" t="s">
        <v>450</v>
      </c>
      <c r="C125">
        <v>0.7</v>
      </c>
      <c r="F125" t="s">
        <v>375</v>
      </c>
    </row>
    <row r="126" spans="1:6" x14ac:dyDescent="0.3">
      <c r="A126" t="s">
        <v>435</v>
      </c>
      <c r="B126" t="s">
        <v>450</v>
      </c>
      <c r="C126">
        <v>1</v>
      </c>
      <c r="F126" t="s">
        <v>375</v>
      </c>
    </row>
    <row r="127" spans="1:6" x14ac:dyDescent="0.3">
      <c r="A127" t="s">
        <v>436</v>
      </c>
      <c r="B127" t="s">
        <v>450</v>
      </c>
      <c r="C127">
        <v>0.12043337304073547</v>
      </c>
      <c r="F127" t="s">
        <v>375</v>
      </c>
    </row>
    <row r="128" spans="1:6" x14ac:dyDescent="0.3">
      <c r="A128" t="s">
        <v>437</v>
      </c>
      <c r="B128" t="s">
        <v>450</v>
      </c>
      <c r="C128">
        <v>119.60561578781872</v>
      </c>
      <c r="F128" t="s">
        <v>375</v>
      </c>
    </row>
    <row r="129" spans="1:6" x14ac:dyDescent="0.3">
      <c r="A129" t="s">
        <v>438</v>
      </c>
      <c r="B129" t="s">
        <v>450</v>
      </c>
      <c r="C129">
        <v>7.5217966021746033E-2</v>
      </c>
      <c r="F129" t="s">
        <v>375</v>
      </c>
    </row>
    <row r="130" spans="1:6" x14ac:dyDescent="0.3">
      <c r="A130" t="s">
        <v>439</v>
      </c>
      <c r="B130" t="s">
        <v>450</v>
      </c>
      <c r="C130">
        <v>1.07</v>
      </c>
      <c r="F130" t="s">
        <v>375</v>
      </c>
    </row>
    <row r="131" spans="1:6" x14ac:dyDescent="0.3">
      <c r="A131" t="s">
        <v>440</v>
      </c>
      <c r="B131" t="s">
        <v>450</v>
      </c>
      <c r="C131">
        <v>0.3</v>
      </c>
      <c r="F131" t="s">
        <v>375</v>
      </c>
    </row>
    <row r="132" spans="1:6" x14ac:dyDescent="0.3">
      <c r="A132" t="s">
        <v>441</v>
      </c>
      <c r="B132" t="s">
        <v>450</v>
      </c>
      <c r="C132">
        <v>29.162154556467332</v>
      </c>
      <c r="F132" t="s">
        <v>375</v>
      </c>
    </row>
    <row r="133" spans="1:6" x14ac:dyDescent="0.3">
      <c r="A133" t="s">
        <v>442</v>
      </c>
      <c r="B133" t="s">
        <v>450</v>
      </c>
      <c r="C133">
        <v>0.83784544353266455</v>
      </c>
      <c r="F133" t="s">
        <v>375</v>
      </c>
    </row>
    <row r="134" spans="1:6" x14ac:dyDescent="0.3">
      <c r="A134" t="s">
        <v>443</v>
      </c>
      <c r="B134" t="s">
        <v>450</v>
      </c>
      <c r="C134">
        <v>5.2033621722920103</v>
      </c>
      <c r="F134" t="s">
        <v>375</v>
      </c>
    </row>
    <row r="135" spans="1:6" x14ac:dyDescent="0.3">
      <c r="A135" t="s">
        <v>444</v>
      </c>
      <c r="B135" t="s">
        <v>450</v>
      </c>
      <c r="C135">
        <v>0.3614852233974003</v>
      </c>
      <c r="F135" t="s">
        <v>375</v>
      </c>
    </row>
    <row r="136" spans="1:6" x14ac:dyDescent="0.3">
      <c r="A136" t="s">
        <v>445</v>
      </c>
      <c r="B136" t="s">
        <v>450</v>
      </c>
      <c r="C136">
        <v>0.15</v>
      </c>
      <c r="F136" t="s">
        <v>375</v>
      </c>
    </row>
    <row r="137" spans="1:6" x14ac:dyDescent="0.3">
      <c r="A137" t="s">
        <v>446</v>
      </c>
      <c r="B137" t="s">
        <v>450</v>
      </c>
      <c r="C137">
        <v>-0.78050432584380147</v>
      </c>
      <c r="F137" t="s">
        <v>375</v>
      </c>
    </row>
    <row r="138" spans="1:6" x14ac:dyDescent="0.3">
      <c r="A138" t="s">
        <v>447</v>
      </c>
      <c r="B138" t="s">
        <v>450</v>
      </c>
      <c r="C138">
        <v>0.12602616170797043</v>
      </c>
      <c r="F138" t="s">
        <v>375</v>
      </c>
    </row>
    <row r="139" spans="1:6" x14ac:dyDescent="0.3">
      <c r="A139" t="s">
        <v>448</v>
      </c>
      <c r="B139" t="s">
        <v>450</v>
      </c>
      <c r="C139">
        <v>5</v>
      </c>
      <c r="F139" t="s">
        <v>375</v>
      </c>
    </row>
    <row r="140" spans="1:6" x14ac:dyDescent="0.3">
      <c r="A140" t="s">
        <v>449</v>
      </c>
      <c r="B140" t="s">
        <v>450</v>
      </c>
      <c r="C140">
        <v>-0.18284158980285484</v>
      </c>
      <c r="F140" t="s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8514-E0AF-4C67-BF86-8649FC702924}">
  <dimension ref="A1:D20"/>
  <sheetViews>
    <sheetView workbookViewId="0">
      <selection activeCell="B22" sqref="B22"/>
    </sheetView>
  </sheetViews>
  <sheetFormatPr defaultColWidth="8.6640625" defaultRowHeight="14.4" x14ac:dyDescent="0.3"/>
  <cols>
    <col min="1" max="1" width="32.44140625" customWidth="1"/>
    <col min="2" max="3" width="32.44140625" style="20" customWidth="1"/>
    <col min="4" max="4" width="13.33203125" style="20" customWidth="1"/>
  </cols>
  <sheetData>
    <row r="1" spans="1:4" x14ac:dyDescent="0.3">
      <c r="A1" s="18" t="s">
        <v>272</v>
      </c>
      <c r="B1" s="19" t="s">
        <v>273</v>
      </c>
      <c r="C1" s="19" t="s">
        <v>292</v>
      </c>
      <c r="D1" s="19" t="s">
        <v>301</v>
      </c>
    </row>
    <row r="2" spans="1:4" x14ac:dyDescent="0.3">
      <c r="A2" t="s">
        <v>274</v>
      </c>
      <c r="B2" s="27">
        <v>25.9</v>
      </c>
      <c r="C2" s="27">
        <v>0</v>
      </c>
      <c r="D2" s="27">
        <v>0.06</v>
      </c>
    </row>
    <row r="3" spans="1:4" x14ac:dyDescent="0.3">
      <c r="A3" s="21" t="s">
        <v>275</v>
      </c>
      <c r="B3" s="27">
        <v>210</v>
      </c>
      <c r="C3" s="27">
        <v>2.1999999999999999E-2</v>
      </c>
      <c r="D3" s="27">
        <v>0.06</v>
      </c>
    </row>
    <row r="4" spans="1:4" x14ac:dyDescent="0.3">
      <c r="A4" t="s">
        <v>276</v>
      </c>
      <c r="B4" s="27">
        <v>74.599999999999994</v>
      </c>
      <c r="C4" s="27">
        <v>7.0000000000000007E-2</v>
      </c>
      <c r="D4" s="27">
        <v>5.6000000000000001E-2</v>
      </c>
    </row>
    <row r="5" spans="1:4" x14ac:dyDescent="0.3">
      <c r="A5" t="s">
        <v>277</v>
      </c>
      <c r="B5" s="27">
        <v>96.2</v>
      </c>
      <c r="C5" s="27">
        <v>0.13600000000000001</v>
      </c>
      <c r="D5" s="27">
        <v>1.7999999999999999E-2</v>
      </c>
    </row>
    <row r="6" spans="1:4" x14ac:dyDescent="0.3">
      <c r="A6" s="21" t="s">
        <v>302</v>
      </c>
      <c r="B6" s="27">
        <v>9</v>
      </c>
      <c r="C6" s="27">
        <v>1.254</v>
      </c>
      <c r="D6" s="27">
        <v>-2.1999999999999999E-2</v>
      </c>
    </row>
    <row r="7" spans="1:4" x14ac:dyDescent="0.3">
      <c r="A7" t="s">
        <v>278</v>
      </c>
      <c r="B7" s="27">
        <v>451</v>
      </c>
      <c r="C7" s="27">
        <v>0.17199999999999999</v>
      </c>
      <c r="D7" s="27">
        <v>4.9000000000000002E-2</v>
      </c>
    </row>
    <row r="8" spans="1:4" x14ac:dyDescent="0.3">
      <c r="A8" t="s">
        <v>279</v>
      </c>
      <c r="B8" s="27">
        <v>119.9</v>
      </c>
      <c r="C8" s="27">
        <v>0.437</v>
      </c>
      <c r="D8" s="27">
        <v>5.2999999999999999E-2</v>
      </c>
    </row>
    <row r="9" spans="1:4" x14ac:dyDescent="0.3">
      <c r="A9" t="s">
        <v>280</v>
      </c>
      <c r="B9" s="27">
        <v>44.7</v>
      </c>
      <c r="C9" s="27">
        <v>0.56499999999999995</v>
      </c>
      <c r="D9" s="27">
        <v>8.6999999999999994E-2</v>
      </c>
    </row>
    <row r="10" spans="1:4" x14ac:dyDescent="0.3">
      <c r="A10" t="s">
        <v>281</v>
      </c>
      <c r="B10" s="27">
        <v>0.05</v>
      </c>
      <c r="C10" s="27">
        <v>0.33200000000000002</v>
      </c>
      <c r="D10" s="27">
        <v>0.125</v>
      </c>
    </row>
    <row r="11" spans="1:4" x14ac:dyDescent="0.3">
      <c r="A11" t="s">
        <v>282</v>
      </c>
      <c r="B11" s="27">
        <v>20.7</v>
      </c>
      <c r="C11" s="27">
        <v>0.46200000000000002</v>
      </c>
      <c r="D11" s="27">
        <v>0.14599999999999999</v>
      </c>
    </row>
    <row r="12" spans="1:4" x14ac:dyDescent="0.3">
      <c r="A12" t="s">
        <v>283</v>
      </c>
      <c r="B12" s="27">
        <v>20.7</v>
      </c>
      <c r="C12" s="27">
        <v>0.46200000000000002</v>
      </c>
      <c r="D12" s="27">
        <v>0.14599999999999999</v>
      </c>
    </row>
    <row r="13" spans="1:4" x14ac:dyDescent="0.3">
      <c r="A13" t="s">
        <v>284</v>
      </c>
      <c r="B13" s="27">
        <v>520</v>
      </c>
      <c r="C13" s="27">
        <v>0.32700000000000001</v>
      </c>
      <c r="D13" s="27">
        <v>3.2000000000000001E-2</v>
      </c>
    </row>
    <row r="14" spans="1:4" x14ac:dyDescent="0.3">
      <c r="A14" t="s">
        <v>285</v>
      </c>
      <c r="B14" s="27">
        <v>688.5</v>
      </c>
      <c r="C14" s="27">
        <v>0.39500000000000002</v>
      </c>
      <c r="D14" s="27">
        <v>0.126</v>
      </c>
    </row>
    <row r="15" spans="1:4" x14ac:dyDescent="0.3">
      <c r="A15" s="21" t="s">
        <v>286</v>
      </c>
      <c r="B15" s="27">
        <v>256</v>
      </c>
      <c r="C15" s="27">
        <v>0.249</v>
      </c>
      <c r="D15" s="27">
        <v>-4.3999999999999997E-2</v>
      </c>
    </row>
    <row r="16" spans="1:4" x14ac:dyDescent="0.3">
      <c r="A16" t="s">
        <v>287</v>
      </c>
      <c r="B16" s="27">
        <v>763.7</v>
      </c>
      <c r="C16" s="27">
        <v>0.29799999999999999</v>
      </c>
      <c r="D16" s="27">
        <v>4.5999999999999999E-2</v>
      </c>
    </row>
    <row r="17" spans="1:4" x14ac:dyDescent="0.3">
      <c r="A17" t="s">
        <v>288</v>
      </c>
      <c r="B17" s="27">
        <v>22</v>
      </c>
      <c r="C17" s="27">
        <v>1.1879999999999999</v>
      </c>
      <c r="D17" s="27">
        <v>0.11700000000000001</v>
      </c>
    </row>
    <row r="18" spans="1:4" x14ac:dyDescent="0.3">
      <c r="A18" t="s">
        <v>289</v>
      </c>
      <c r="B18" s="27">
        <v>23.3</v>
      </c>
      <c r="C18" s="27">
        <v>1.1850000000000001</v>
      </c>
      <c r="D18" s="27">
        <v>7.2999999999999995E-2</v>
      </c>
    </row>
    <row r="19" spans="1:4" x14ac:dyDescent="0.3">
      <c r="A19" t="s">
        <v>291</v>
      </c>
      <c r="B19" s="27">
        <v>31.3</v>
      </c>
      <c r="C19" s="27">
        <v>1.2070000000000001</v>
      </c>
      <c r="D19" s="27">
        <v>7.6999999999999999E-2</v>
      </c>
    </row>
    <row r="20" spans="1:4" x14ac:dyDescent="0.3">
      <c r="A20" t="s">
        <v>290</v>
      </c>
      <c r="B20" s="27">
        <v>13.9</v>
      </c>
      <c r="C20" s="27">
        <v>1.2050000000000001</v>
      </c>
      <c r="D20" s="27">
        <v>0.188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E621-EF6B-4648-868E-9937B9C5B685}">
  <dimension ref="A1:F32"/>
  <sheetViews>
    <sheetView workbookViewId="0">
      <selection activeCell="F21" sqref="F21"/>
    </sheetView>
  </sheetViews>
  <sheetFormatPr defaultColWidth="8.6640625" defaultRowHeight="14.4" x14ac:dyDescent="0.3"/>
  <cols>
    <col min="1" max="1" width="48.109375" style="2" customWidth="1"/>
    <col min="2" max="4" width="15.6640625" style="2" customWidth="1"/>
    <col min="5" max="5" width="3.6640625" style="2" customWidth="1"/>
    <col min="6" max="6" width="46.6640625" style="2" customWidth="1"/>
    <col min="7" max="16384" width="8.6640625" style="2"/>
  </cols>
  <sheetData>
    <row r="1" spans="1:6" ht="18" x14ac:dyDescent="0.35">
      <c r="A1" s="1" t="s">
        <v>205</v>
      </c>
    </row>
    <row r="2" spans="1:6" x14ac:dyDescent="0.3">
      <c r="A2" s="3" t="s">
        <v>242</v>
      </c>
    </row>
    <row r="4" spans="1:6" x14ac:dyDescent="0.3">
      <c r="A4" s="4" t="s">
        <v>206</v>
      </c>
      <c r="B4" s="4" t="s">
        <v>207</v>
      </c>
      <c r="C4" s="4" t="s">
        <v>208</v>
      </c>
      <c r="D4" s="4" t="s">
        <v>209</v>
      </c>
    </row>
    <row r="5" spans="1:6" x14ac:dyDescent="0.3">
      <c r="A5" s="2" t="s">
        <v>210</v>
      </c>
      <c r="B5" s="5">
        <f>(Inputs!C19*Inputs!C77/Inputs!C72)/(Inputs!C25-Inputs!C26)</f>
        <v>0.43632320237212752</v>
      </c>
      <c r="C5" s="15">
        <v>0.19600000000000001</v>
      </c>
      <c r="D5" s="15">
        <v>0.19600000000000001</v>
      </c>
      <c r="F5" s="3" t="s">
        <v>211</v>
      </c>
    </row>
    <row r="6" spans="1:6" x14ac:dyDescent="0.3">
      <c r="A6" s="2" t="s">
        <v>212</v>
      </c>
      <c r="B6" s="6">
        <f>Inputs!C57</f>
        <v>0.25</v>
      </c>
      <c r="C6" s="6">
        <f>Inputs!C53</f>
        <v>0.3</v>
      </c>
      <c r="D6" s="6">
        <f>Inputs!C55</f>
        <v>0.3</v>
      </c>
      <c r="F6" s="3" t="s">
        <v>213</v>
      </c>
    </row>
    <row r="7" spans="1:6" x14ac:dyDescent="0.3">
      <c r="A7" s="2" t="s">
        <v>214</v>
      </c>
      <c r="B7" s="5">
        <f>B6*B5</f>
        <v>0.10908080059303188</v>
      </c>
      <c r="C7" s="5">
        <f>C6*C5</f>
        <v>5.8799999999999998E-2</v>
      </c>
      <c r="D7" s="5">
        <f>D6*D5</f>
        <v>5.8799999999999998E-2</v>
      </c>
      <c r="F7" s="3" t="s">
        <v>243</v>
      </c>
    </row>
    <row r="8" spans="1:6" x14ac:dyDescent="0.3">
      <c r="A8" s="2" t="s">
        <v>215</v>
      </c>
      <c r="B8" s="5">
        <f>(Inputs!C59-Inputs!C58)*Inputs!C25/2</f>
        <v>0.22500000000000003</v>
      </c>
      <c r="C8" s="15">
        <v>0.53900000000000003</v>
      </c>
      <c r="D8" s="15">
        <v>0.24299999999999999</v>
      </c>
      <c r="F8" s="3" t="s">
        <v>244</v>
      </c>
    </row>
    <row r="9" spans="1:6" x14ac:dyDescent="0.3">
      <c r="A9" s="2" t="s">
        <v>216</v>
      </c>
      <c r="B9" s="7">
        <f>Inputs!C60</f>
        <v>15</v>
      </c>
      <c r="C9" s="16">
        <f>Inputs!C54</f>
        <v>30</v>
      </c>
      <c r="D9" s="7">
        <f>Inputs!C56</f>
        <v>30</v>
      </c>
      <c r="F9" s="3" t="s">
        <v>217</v>
      </c>
    </row>
    <row r="10" spans="1:6" x14ac:dyDescent="0.3">
      <c r="A10" s="2" t="s">
        <v>218</v>
      </c>
      <c r="B10" s="8">
        <v>0</v>
      </c>
      <c r="C10" s="8">
        <v>1</v>
      </c>
      <c r="D10" s="8">
        <v>0</v>
      </c>
      <c r="F10" s="3" t="s">
        <v>219</v>
      </c>
    </row>
    <row r="11" spans="1:6" x14ac:dyDescent="0.3">
      <c r="A11" s="2" t="s">
        <v>220</v>
      </c>
      <c r="B11" s="9">
        <v>23</v>
      </c>
      <c r="C11" s="9">
        <v>23</v>
      </c>
      <c r="D11" s="9">
        <v>23</v>
      </c>
      <c r="F11" s="3" t="s">
        <v>245</v>
      </c>
    </row>
    <row r="12" spans="1:6" x14ac:dyDescent="0.3">
      <c r="A12" s="2" t="s">
        <v>221</v>
      </c>
      <c r="B12" s="5">
        <f>Inputs!C20</f>
        <v>1.2250000000000001</v>
      </c>
      <c r="C12" s="5">
        <f>Inputs!C20</f>
        <v>1.2250000000000001</v>
      </c>
      <c r="D12" s="5">
        <f>Inputs!C20</f>
        <v>1.2250000000000001</v>
      </c>
      <c r="F12" s="3" t="s">
        <v>222</v>
      </c>
    </row>
    <row r="13" spans="1:6" x14ac:dyDescent="0.3">
      <c r="A13" s="2" t="s">
        <v>223</v>
      </c>
      <c r="B13" s="8">
        <v>1</v>
      </c>
      <c r="C13" s="8">
        <v>1</v>
      </c>
      <c r="D13" s="8">
        <v>1</v>
      </c>
      <c r="F13" s="3" t="s">
        <v>224</v>
      </c>
    </row>
    <row r="14" spans="1:6" x14ac:dyDescent="0.3">
      <c r="A14" s="2" t="s">
        <v>255</v>
      </c>
      <c r="B14" s="17">
        <f>Inputs!C92</f>
        <v>1</v>
      </c>
      <c r="C14" s="17">
        <f>Inputs!C93</f>
        <v>1.2</v>
      </c>
      <c r="D14" s="17">
        <f>Inputs!C94</f>
        <v>1</v>
      </c>
      <c r="F14" s="3" t="s">
        <v>257</v>
      </c>
    </row>
    <row r="15" spans="1:6" x14ac:dyDescent="0.3">
      <c r="A15" s="2" t="s">
        <v>256</v>
      </c>
      <c r="B15" s="17">
        <f>Inputs!C95</f>
        <v>0.85</v>
      </c>
      <c r="C15" s="17">
        <f>Inputs!C95</f>
        <v>0.85</v>
      </c>
      <c r="D15" s="17">
        <f>Inputs!C95</f>
        <v>0.85</v>
      </c>
      <c r="F15" s="3" t="s">
        <v>258</v>
      </c>
    </row>
    <row r="16" spans="1:6" x14ac:dyDescent="0.3">
      <c r="A16" s="4" t="s">
        <v>225</v>
      </c>
      <c r="B16" s="4"/>
      <c r="C16" s="4"/>
      <c r="D16" s="4"/>
    </row>
    <row r="17" spans="1:4" x14ac:dyDescent="0.3">
      <c r="A17" s="2" t="s">
        <v>226</v>
      </c>
      <c r="B17" s="6">
        <f>ACOS(2*B6-1)</f>
        <v>2.0943951023931957</v>
      </c>
      <c r="C17" s="6">
        <f>ACOS(2*C6-1)</f>
        <v>1.9823131728623846</v>
      </c>
      <c r="D17" s="6">
        <f>ACOS(2*D6-1)</f>
        <v>1.9823131728623846</v>
      </c>
    </row>
    <row r="18" spans="1:4" x14ac:dyDescent="0.3">
      <c r="A18" s="2" t="s">
        <v>227</v>
      </c>
      <c r="B18" s="6">
        <f>PI()-B17</f>
        <v>1.0471975511965974</v>
      </c>
      <c r="C18" s="6">
        <f>PI()-C17</f>
        <v>1.1592794807274085</v>
      </c>
      <c r="D18" s="6">
        <f>PI()-D17</f>
        <v>1.1592794807274085</v>
      </c>
    </row>
    <row r="19" spans="1:4" x14ac:dyDescent="0.3">
      <c r="A19" s="2" t="s">
        <v>228</v>
      </c>
      <c r="B19" s="10">
        <f>-(B18*(COS(B17)-0.5)+SIN(B17)*(1-COS(B17)/2))/B6^2</f>
        <v>-0.56534725654320894</v>
      </c>
      <c r="C19" s="10">
        <f>-(C18*(COS(C17)-0.5)+SIN(C17)*(1-COS(C17)/2))/C6^2</f>
        <v>-0.62740704594148844</v>
      </c>
      <c r="D19" s="10">
        <f>-(D18*(COS(D17)-0.5)+SIN(D17)*(1-COS(D17)/2))/D6^2</f>
        <v>-0.62740704594148844</v>
      </c>
    </row>
    <row r="20" spans="1:4" x14ac:dyDescent="0.3">
      <c r="A20" s="2" t="s">
        <v>229</v>
      </c>
      <c r="B20" s="10">
        <f>-(B18^2*(COS(B17)-0.5)+B18*SIN(B17)+SIN(B17)^2/2)/(PI()*B6^2)</f>
        <v>-0.94360786423789478</v>
      </c>
      <c r="C20" s="10">
        <f>-(C18^2*(COS(C17)-0.5)+C18*SIN(C17)+SIN(C17)^2/2)/(PI()*C6^2)</f>
        <v>-0.96540266006846076</v>
      </c>
      <c r="D20" s="10">
        <f>-(D18^2*(COS(D17)-0.5)+D18*SIN(D17)+SIN(D17)^2/2)/(PI()*D6^2)</f>
        <v>-0.96540266006846076</v>
      </c>
    </row>
    <row r="21" spans="1:4" x14ac:dyDescent="0.3">
      <c r="A21" s="4" t="s">
        <v>230</v>
      </c>
      <c r="B21" s="4"/>
      <c r="C21" s="4"/>
      <c r="D21" s="4"/>
    </row>
    <row r="22" spans="1:4" x14ac:dyDescent="0.3">
      <c r="A22" s="2" t="s">
        <v>231</v>
      </c>
      <c r="B22" s="6">
        <f>RADIANS(B10)</f>
        <v>0</v>
      </c>
      <c r="C22" s="6">
        <f>RADIANS(C10)</f>
        <v>1.7453292519943295E-2</v>
      </c>
      <c r="D22" s="6">
        <f>RADIANS(D10)</f>
        <v>0</v>
      </c>
    </row>
    <row r="23" spans="1:4" x14ac:dyDescent="0.3">
      <c r="A23" s="2" t="s">
        <v>232</v>
      </c>
      <c r="B23" s="6">
        <f>RADIANS(B9)</f>
        <v>0.26179938779914941</v>
      </c>
      <c r="C23" s="6">
        <f>RADIANS(C9)</f>
        <v>0.52359877559829882</v>
      </c>
      <c r="D23" s="6">
        <f>RADIANS(D9)</f>
        <v>0.52359877559829882</v>
      </c>
    </row>
    <row r="24" spans="1:4" x14ac:dyDescent="0.3">
      <c r="A24" s="2" t="s">
        <v>233</v>
      </c>
      <c r="B24" s="10">
        <f>B19*B22+B20*B23</f>
        <v>-0.24703596117994375</v>
      </c>
      <c r="C24" s="10">
        <f>C19*C22+C20*C23</f>
        <v>-0.51643396947307707</v>
      </c>
      <c r="D24" s="10">
        <f>D19*D22+D20*D23</f>
        <v>-0.50548365077118673</v>
      </c>
    </row>
    <row r="25" spans="1:4" x14ac:dyDescent="0.3">
      <c r="A25" s="2" t="s">
        <v>234</v>
      </c>
      <c r="B25" s="5">
        <f>0.5*B12*B11^2</f>
        <v>324.01250000000005</v>
      </c>
      <c r="C25" s="5">
        <f>0.5*C12*C11^2</f>
        <v>324.01250000000005</v>
      </c>
      <c r="D25" s="5">
        <f>0.5*D12*D11^2</f>
        <v>324.01250000000005</v>
      </c>
    </row>
    <row r="26" spans="1:4" x14ac:dyDescent="0.3">
      <c r="A26" s="2" t="s">
        <v>235</v>
      </c>
      <c r="B26" s="5">
        <f>B7*B8</f>
        <v>2.4543180133432176E-2</v>
      </c>
      <c r="C26" s="5">
        <f>C7*C8</f>
        <v>3.1693199999999998E-2</v>
      </c>
      <c r="D26" s="5">
        <f>D7*D8</f>
        <v>1.42884E-2</v>
      </c>
    </row>
    <row r="27" spans="1:4" x14ac:dyDescent="0.3">
      <c r="A27" s="11" t="s">
        <v>236</v>
      </c>
      <c r="B27" s="12">
        <f>B24*B25*B26*B7</f>
        <v>-0.21428960045194023</v>
      </c>
      <c r="C27" s="12">
        <f>C24*C25*C26*C7</f>
        <v>-0.31183149980507596</v>
      </c>
      <c r="D27" s="12">
        <f>D24*D25*D26*D7</f>
        <v>-0.13760360258695806</v>
      </c>
    </row>
    <row r="28" spans="1:4" x14ac:dyDescent="0.3">
      <c r="A28" s="2" t="s">
        <v>237</v>
      </c>
      <c r="B28" s="6">
        <f>ABS(B27)*B13</f>
        <v>0.21428960045194023</v>
      </c>
      <c r="C28" s="6">
        <f>ABS(C27)*C13</f>
        <v>0.31183149980507596</v>
      </c>
      <c r="D28" s="6">
        <f>ABS(D27)*D13</f>
        <v>0.13760360258695806</v>
      </c>
    </row>
    <row r="29" spans="1:4" x14ac:dyDescent="0.3">
      <c r="A29" s="11" t="s">
        <v>238</v>
      </c>
      <c r="B29" s="13">
        <f>B28*B14/B15*141.612</f>
        <v>35.701151646117836</v>
      </c>
      <c r="C29" s="13">
        <f>C28*C14/C15*141.612</f>
        <v>62.342233906441997</v>
      </c>
      <c r="D29" s="13">
        <f>D28*D14/D15*141.612</f>
        <v>22.925083964169769</v>
      </c>
    </row>
    <row r="30" spans="1:4" x14ac:dyDescent="0.3">
      <c r="A30" s="4" t="s">
        <v>239</v>
      </c>
      <c r="B30" s="4"/>
      <c r="C30" s="4"/>
      <c r="D30" s="4"/>
    </row>
    <row r="31" spans="1:4" x14ac:dyDescent="0.3">
      <c r="A31" s="2" t="s">
        <v>240</v>
      </c>
      <c r="B31" s="14"/>
      <c r="C31" s="14"/>
      <c r="D31" s="14"/>
    </row>
    <row r="32" spans="1:4" x14ac:dyDescent="0.3">
      <c r="A32" s="2" t="s">
        <v>241</v>
      </c>
      <c r="B32" s="6" t="str">
        <f>IF(B31="","",B24/B31)</f>
        <v/>
      </c>
      <c r="C32" s="6" t="str">
        <f>IF(C31="","",C24/C31)</f>
        <v/>
      </c>
      <c r="D32" s="6" t="str">
        <f>IF(D31="","",D24/D31)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09:F109"/>
  <sheetViews>
    <sheetView workbookViewId="0"/>
  </sheetViews>
  <sheetFormatPr defaultRowHeight="14.4" x14ac:dyDescent="0.3"/>
  <cols>
    <col min="3" max="3" width="11.5546875" customWidth="1"/>
    <col min="6" max="6" width="142.44140625" customWidth="1"/>
  </cols>
  <sheetData>
    <row r="109" spans="3:6" x14ac:dyDescent="0.3">
      <c r="C109">
        <v>11.941543440928031</v>
      </c>
      <c r="F109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Outputs</vt:lpstr>
      <vt:lpstr>MassBudget</vt:lpstr>
      <vt:lpstr>Hinge Moments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Nery</dc:creator>
  <cp:lastModifiedBy>Adrian Chaix-Rozas</cp:lastModifiedBy>
  <dcterms:created xsi:type="dcterms:W3CDTF">2015-06-05T18:17:20Z</dcterms:created>
  <dcterms:modified xsi:type="dcterms:W3CDTF">2026-10-15T15:01:37Z</dcterms:modified>
</cp:coreProperties>
</file>