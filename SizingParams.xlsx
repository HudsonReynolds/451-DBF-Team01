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340" documentId="13_ncr:1_{60007970-5A4F-400B-B565-6CA8D1228FE7}" xr6:coauthVersionLast="47" xr6:coauthVersionMax="47" xr10:uidLastSave="{17327AF0-D2A2-401A-AFA4-5BA44D815C39}"/>
  <bookViews>
    <workbookView xWindow="-28920" yWindow="-120" windowWidth="29040" windowHeight="15720" activeTab="1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<sst xmlns="http://schemas.openxmlformats.org/spreadsheetml/2006/main" count="486" uniqueCount="306">
  <si>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</si>
  <si>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</si>
  <si>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</si>
  <si>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</si>
  <si>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</si>
  <si>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</si>
  <si>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</si>
  <si>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</si>
  <si>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</si>
  <si>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</si>
  <si>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</si>
  <si>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</si>
  <si>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</si>
  <si>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</si>
  <si>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</si>
  <si>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</si>
  <si>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</si>
  <si>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</si>
  <si>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</si>
  <si>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</si>
  <si>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</si>
  <si>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</si>
  <si>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</si>
  <si>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</si>
  <si>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</si>
  <si>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</si>
  <si>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</si>
  <si>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</si>
  <si>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</si>
  <si>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</si>
  <si>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</si>
  <si>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</si>
  <si>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</si>
  <si>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</si>
  <si>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</si>
  <si>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</si>
  <si>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</si>
  <si>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</si>
  <si>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</si>
  <si>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</si>
  <si>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</si>
  <si>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</si>
  <si>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</si>
  <si>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</si>
  <si>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</si>
  <si>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</si>
  <si>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</si>
  <si>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</si>
  <si>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</si>
  <si>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</si>
  <si>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</si>
  <si>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</si>
  <si>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</si>
  <si>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</si>
  <si>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</si>
  <si>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</si>
  <si>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</si>
  <si>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</si>
  <si>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</si>
  <si>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</si>
  <si>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</si>
  <si>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</si>
  <si>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</si>
  <si>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</si>
  <si>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</si>
  <si>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</si>
  <si>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</si>
  <si>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</si>
  <si>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</si>
  <si>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</si>
  <si>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</si>
  <si>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</si>
  <si>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</si>
  <si>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</si>
  <si>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</si>
  <si>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</si>
  <si>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</si>
  <si>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</si>
  <si>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</si>
  <si>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</si>
  <si>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</si>
  <si>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</si>
  <si>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</si>
  <si>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</si>
  <si>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</si>
  <si>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</si>
  <si>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</si>
  <si>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</si>
  <si>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</si>
  <si>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</si>
  <si>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</si>
  <si>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</si>
  <si>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</si>
  <si>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</si>
  <si>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</si>
  <si>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</si>
  <si>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</si>
  <si>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</si>
  <si>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</si>
  <si>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</si>
  <si>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</si>
  <si>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</si>
  <si>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</si>
  <si>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</si>
  <si>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</si>
  <si>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</si>
  <si>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</si>
  <si>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</si>
  <si>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</si>
  <si>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</si>
  <si>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</si>
  <si>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</si>
  <si>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</si>
  <si>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</si>
  <si>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</si>
  <si>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</si>
  <si>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</si>
  <si>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</si>
  <si>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</si>
  <si>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</si>
  <si>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</si>
  <si>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</si>
  <si>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</si>
  <si>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</si>
  <si>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</si>
  <si>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</si>
  <si>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</si>
  <si>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</si>
  <si>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</si>
  <si>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</si>
  <si>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</si>
  <si>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</si>
  <si>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</si>
  <si>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</si>
  <si>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</si>
  <si>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</si>
  <si>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</si>
  <si>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</si>
  <si>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</si>
  <si>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</si>
  <si>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</si>
  <si>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</si>
  <si>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</si>
  <si>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</si>
  <si>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</si>
  <si>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</si>
  <si>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</si>
  <si>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</si>
  <si>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</si>
  <si>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</si>
  <si>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</si>
  <si>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</si>
  <si>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</si>
  <si>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</si>
  <si>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</si>
  <si>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</si>
  <si>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</si>
  <si>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</si>
  <si>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</si>
  <si>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</si>
  <si>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</si>
  <si>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</si>
  <si>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</si>
  <si>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</si>
  <si>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</si>
  <si>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</si>
  <si>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</si>
  <si>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</si>
  <si>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</si>
  <si>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</si>
  <si>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</si>
  <si>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</si>
  <si>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</si>
  <si>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</si>
  <si>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</si>
  <si>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</si>
  <si>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</si>
  <si>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</si>
  <si>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</si>
  <si>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</si>
  <si>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</si>
  <si>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</si>
  <si>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</si>
  <si>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</si>
  <si>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</si>
  <si>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</si>
  <si>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</si>
  <si>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</si>
  <si>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</si>
  <si>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</si>
  <si>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</si>
  <si>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</si>
  <si>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</si>
  <si>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</si>
  <si>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</si>
  <si>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</si>
  <si>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</si>
  <si>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</si>
  <si>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</si>
  <si>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</si>
  <si>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</si>
  <si>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</si>
  <si>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</si>
  <si>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</si>
  <si>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</si>
  <si>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</si>
  <si>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</si>
  <si>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</si>
  <si>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</si>
  <si>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</si>
  <si>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</si>
  <si>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</si>
  <si>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</si>
  <si>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</si>
  <si>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</si>
  <si>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</si>
  <si>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</si>
  <si>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</si>
  <si>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</si>
  <si>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</si>
  <si>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</si>
  <si>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</si>
  <si>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</si>
  <si>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</si>
  <si>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</si>
  <si>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</si>
  <si>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</si>
  <si>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</si>
  <si>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</si>
  <si>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</si>
  <si>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</si>
  <si>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</si>
  <si>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</si>
  <si>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</si>
  <si>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</si>
  <si>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</si>
  <si>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</si>
  <si>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</si>
  <si>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</si>
  <si>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</si>
  <si>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</si>
  <si>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</si>
  <si>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</si>
  <si>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</si>
  <si>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</si>
  <si>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</si>
  <si>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</si>
  <si>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</si>
  <si>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</si>
  <si>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</si>
  <si>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</si>
  <si>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</si>
  <si>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</si>
  <si>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</si>
  <si>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</si>
  <si>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</si>
  <si>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</si>
  <si>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</si>
  <si>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</si>
  <si>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</si>
  <si>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</si>
  <si>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</si>
  <si>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</si>
  <si>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</si>
  <si>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Negative (inverted-flight) max lift coefficient -- ASSUMPTION, not measured; refine with an XFLR5 negative-alpha sweep</t>
  </si>
  <si>
    <t>x_spar</t>
  </si>
  <si>
    <t>structures</t>
  </si>
  <si>
    <t>Wing spar/shear-center location, fraction of chord aft of LE -- ASSUMPTION, set once the spar is chosen; sign of (x_spar-x_ac) decides whether Cm_ac adds to or opposes the lift-offset torque</t>
  </si>
  <si>
    <t>eta_h</t>
  </si>
  <si>
    <t>Horizontal tail dynamic-pressure ratio q_tail/q_freestream -- ASSUMPTION (high-wing/clear tail), refine from wake/downwash data</t>
  </si>
  <si>
    <t>eta_v</t>
  </si>
  <si>
    <t>Vertical tail (fin) dynamic-pressure ratio -- ASSUMPTION, refine from wake/downwash data</t>
  </si>
  <si>
    <t>CL_max_tail</t>
  </si>
  <si>
    <t>Max lift coefficient of the tail's symmetric section (NACA 0010) -- ASSUMPTION, refine with an XFLR5 sweep</t>
  </si>
  <si>
    <t>D_fus_tail</t>
  </si>
  <si>
    <t>Fuselage/tailboom depth at the fin root -- ASSUMPTION, measure once the boom is sized</t>
  </si>
  <si>
    <t>x_LE_wing</t>
  </si>
  <si>
    <t>Fuselage station of the wing's MAC leading edge, from the nose -- ASSUMPTION/PLACEHOLDER, set from your actual layout</t>
  </si>
  <si>
    <t>sink_rate</t>
  </si>
  <si>
    <t>Design sink rate for the landing load factor derivation -- ASSUMPTION, state your source</t>
  </si>
  <si>
    <t>gear_stiffness</t>
  </si>
  <si>
    <t>N/m</t>
  </si>
  <si>
    <t>Main landing gear vertical stiffness (both legs) -- PLACEHOLDER, replace once gear is selected/tested</t>
  </si>
  <si>
    <t>Component</t>
  </si>
  <si>
    <t>Mass_g</t>
  </si>
  <si>
    <t>Propeller+spinner</t>
  </si>
  <si>
    <t>Motor</t>
  </si>
  <si>
    <t>Motor mount/firewall</t>
  </si>
  <si>
    <t>ESC</t>
  </si>
  <si>
    <t>Nose gear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</si>
  <si>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</si>
  <si>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</si>
  <si>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</si>
  <si>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</si>
  <si>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</si>
  <si>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</si>
  <si>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</si>
  <si>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</si>
  <si>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</si>
  <si>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</si>
  <si>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</si>
  <si>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</si>
  <si>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</si>
  <si>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Height_m</t>
  </si>
  <si>
    <t>Horizontal tail (spar+foam)</t>
  </si>
  <si>
    <t>X_m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</si>
</sst>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4" totalsRowShown="0">
  <autoFilter ref="A1:F104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workbookViewId="0">
      <selection activeCell="C101" sqref="C101"/>
    </sheetView>
  </sheetViews>
  <sheetFormatPr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168.218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0.7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0.23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-0.8</v>
      </c>
      <c r="D96" t="s">
        <v>8</v>
      </c>
      <c r="E96" t="s">
        <v>264</v>
      </c>
    </row>
    <row r="97" spans="1:5" x14ac:dyDescent="0.3">
      <c r="A97" t="s">
        <v>265</v>
      </c>
      <c r="B97" s="19" t="s">
        <v>266</v>
      </c>
      <c r="C97" s="19">
        <v>0.3</v>
      </c>
      <c r="D97" t="s">
        <v>8</v>
      </c>
      <c r="E97" t="s">
        <v>267</v>
      </c>
    </row>
    <row r="98" spans="1:5" x14ac:dyDescent="0.3">
      <c r="A98" t="s">
        <v>268</v>
      </c>
      <c r="B98" s="19" t="s">
        <v>266</v>
      </c>
      <c r="C98" s="19">
        <v>1</v>
      </c>
      <c r="D98" t="s">
        <v>8</v>
      </c>
      <c r="E98" t="s">
        <v>269</v>
      </c>
    </row>
    <row r="99" spans="1:5" x14ac:dyDescent="0.3">
      <c r="A99" t="s">
        <v>270</v>
      </c>
      <c r="B99" s="19" t="s">
        <v>266</v>
      </c>
      <c r="C99" s="19">
        <v>1</v>
      </c>
      <c r="D99" t="s">
        <v>8</v>
      </c>
      <c r="E99" t="s">
        <v>271</v>
      </c>
    </row>
    <row r="100" spans="1:5" x14ac:dyDescent="0.3">
      <c r="A100" t="s">
        <v>272</v>
      </c>
      <c r="B100" s="19" t="s">
        <v>266</v>
      </c>
      <c r="C100" s="19">
        <v>1</v>
      </c>
      <c r="D100" t="s">
        <v>8</v>
      </c>
      <c r="E100" t="s">
        <v>273</v>
      </c>
    </row>
    <row r="101" spans="1:5" x14ac:dyDescent="0.3">
      <c r="A101" t="s">
        <v>274</v>
      </c>
      <c r="B101" s="19" t="s">
        <v>266</v>
      </c>
      <c r="C101" s="19">
        <v>0.03</v>
      </c>
      <c r="D101" t="s">
        <v>59</v>
      </c>
      <c r="E101" t="s">
        <v>275</v>
      </c>
    </row>
    <row r="102" spans="1:5" x14ac:dyDescent="0.3">
      <c r="A102" t="s">
        <v>276</v>
      </c>
      <c r="B102" s="19" t="s">
        <v>266</v>
      </c>
      <c r="C102" s="19">
        <v>0.3</v>
      </c>
      <c r="D102" t="s">
        <v>59</v>
      </c>
      <c r="E102" t="s">
        <v>277</v>
      </c>
    </row>
    <row r="103" spans="1:5" x14ac:dyDescent="0.3">
      <c r="A103" t="s">
        <v>278</v>
      </c>
      <c r="B103" s="19" t="s">
        <v>266</v>
      </c>
      <c r="C103" s="19">
        <v>0.5</v>
      </c>
      <c r="D103" t="s">
        <v>137</v>
      </c>
      <c r="E103" t="s">
        <v>279</v>
      </c>
    </row>
    <row r="104" spans="1:5" x14ac:dyDescent="0.3">
      <c r="A104" t="s">
        <v>280</v>
      </c>
      <c r="B104" s="19" t="s">
        <v>266</v>
      </c>
      <c r="C104" s="19">
        <v>5000</v>
      </c>
      <c r="D104" t="s">
        <v>281</v>
      </c>
      <c r="E104" t="s">
        <v>282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tabSelected="1" workbookViewId="0">
      <selection activeCell="G17" sqref="G17"/>
    </sheetView>
  </sheetViews>
  <sheetFormatPr defaultRowHeight="14.4" x14ac:dyDescent="0.3"/>
  <cols>
    <col min="1" max="1" width="32.5546875" customWidth="1"/>
    <col min="2" max="3" width="32.5546875" style="21" customWidth="1"/>
    <col min="4" max="4" width="13.33203125" style="21" customWidth="1"/>
  </cols>
  <sheetData>
    <row r="1" spans="1:4" x14ac:dyDescent="0.3">
      <c r="A1" s="18" t="s">
        <v>283</v>
      </c>
      <c r="B1" s="20" t="s">
        <v>284</v>
      </c>
      <c r="C1" s="20" t="s">
        <v>305</v>
      </c>
      <c r="D1" s="21" t="s">
        <v>303</v>
      </c>
    </row>
    <row r="2" spans="1:4" x14ac:dyDescent="0.3">
      <c r="A2" t="s">
        <v>285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286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287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288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289</v>
      </c>
      <c r="B6" s="22">
        <v>45.4</v>
      </c>
      <c r="C6" s="22">
        <v>9.5000000000000001E-2</v>
      </c>
      <c r="D6" s="22">
        <v>-4.4999999999999998E-2</v>
      </c>
    </row>
    <row r="7" spans="1:4" x14ac:dyDescent="0.3">
      <c r="A7" t="s">
        <v>290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291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292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293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294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295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296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297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298</v>
      </c>
      <c r="B15" s="22">
        <v>142.6</v>
      </c>
      <c r="C15" s="22">
        <v>0.43</v>
      </c>
      <c r="D15" s="22">
        <v>-7.8E-2</v>
      </c>
    </row>
    <row r="16" spans="1:4" x14ac:dyDescent="0.3">
      <c r="A16" t="s">
        <v>299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300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301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304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302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886718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2026-09-28T23:56:39Z</dcterms:modified>
</cp:coreProperties>
</file>