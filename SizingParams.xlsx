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817" documentId="13_ncr:1_{B8FE2283-5D42-44E7-810A-D88494F7A345}" xr6:coauthVersionLast="47" xr6:coauthVersionMax="47" xr10:uidLastSave="{525D52DE-856C-46D2-9A63-82D2CBB510BE}"/>
  <bookViews>
    <workbookView xWindow="-108" yWindow="-108" windowWidth="23256" windowHeight="13896" activeTab="1" xr2:uid="{00000000-000D-0000-FFFF-FFFF00000000}"/>
  </bookViews>
  <sheets>
    <sheet name="INPUTS" sheetId="1" r:id="rId1"/>
    <sheet name="Hinge Moments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3" l="1"/>
  <c r="C11" i="3"/>
  <c r="B7" i="3"/>
  <c r="D30" i="3"/>
  <c r="C30" i="3"/>
  <c r="B30" i="3"/>
  <c r="D21" i="3"/>
  <c r="C21" i="3"/>
  <c r="B21" i="3"/>
  <c r="D20" i="3"/>
  <c r="C20" i="3"/>
  <c r="B20" i="3"/>
  <c r="D12" i="3"/>
  <c r="D23" i="3" s="1"/>
  <c r="C12" i="3"/>
  <c r="B12" i="3"/>
  <c r="B23" i="3" s="1"/>
  <c r="D11" i="3"/>
  <c r="B11" i="3"/>
  <c r="D9" i="3"/>
  <c r="B9" i="3"/>
  <c r="D8" i="3"/>
  <c r="C8" i="3"/>
  <c r="B8" i="3"/>
  <c r="D6" i="3"/>
  <c r="C6" i="3"/>
  <c r="C7" i="3" s="1"/>
  <c r="C24" i="3" s="1"/>
  <c r="B6" i="3"/>
  <c r="B15" i="3" s="1"/>
  <c r="B16" i="3" s="1"/>
  <c r="D5" i="3"/>
  <c r="C5" i="3"/>
  <c r="D24" i="3" l="1"/>
  <c r="C23" i="3"/>
  <c r="B18" i="3"/>
  <c r="B17" i="3"/>
  <c r="B22" i="3" s="1"/>
  <c r="C15" i="3"/>
  <c r="C16" i="3" s="1"/>
  <c r="D15" i="3"/>
  <c r="D16" i="3" s="1"/>
  <c r="D17" i="3" l="1"/>
  <c r="D18" i="3"/>
  <c r="C18" i="3"/>
  <c r="C17" i="3"/>
  <c r="C50" i="1"/>
  <c r="C22" i="3" l="1"/>
  <c r="C25" i="3" s="1"/>
  <c r="C26" i="3" s="1"/>
  <c r="C27" i="3" s="1"/>
  <c r="D22" i="3"/>
  <c r="D25" i="3" s="1"/>
  <c r="D26" i="3" s="1"/>
  <c r="D27" i="3" s="1"/>
  <c r="C64" i="1"/>
  <c r="C52" i="1"/>
  <c r="C39" i="1" a="1"/>
  <c r="C39" i="1" s="1"/>
  <c r="C40" i="1" s="1"/>
  <c r="C33" i="1" a="1"/>
  <c r="C33" i="1" s="1"/>
  <c r="C27" i="1" a="1"/>
  <c r="C27" i="1" s="1"/>
  <c r="C24" i="1" a="1"/>
  <c r="C24" i="1" s="1"/>
  <c r="C23" i="1" a="1"/>
  <c r="C23" i="1" s="1"/>
  <c r="C21" i="1" a="1"/>
  <c r="C21" i="1" s="1"/>
  <c r="C13" i="1" a="1"/>
  <c r="C13" i="1" s="1"/>
  <c r="C42" i="1" l="1"/>
  <c r="C8" i="1" l="1"/>
  <c r="C7" i="1" s="1"/>
  <c r="C9" i="1" s="1" a="1"/>
  <c r="C9" i="1" s="1"/>
  <c r="B5" i="3"/>
  <c r="B24" i="3" s="1"/>
  <c r="B25" i="3" s="1"/>
  <c r="B26" i="3" s="1"/>
  <c r="B27" i="3" s="1"/>
  <c r="C10" i="1"/>
  <c r="C12" i="1" s="1" a="1"/>
  <c r="C12" i="1" s="1"/>
  <c r="C16" i="1" l="1" a="1"/>
  <c r="C16" i="1" s="1"/>
  <c r="C17" i="1" s="1" a="1"/>
  <c r="C17" i="1" s="1"/>
  <c r="C15" i="1" a="1"/>
  <c r="C15" i="1" s="1"/>
  <c r="C18" i="1" s="1" a="1"/>
  <c r="C1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<sst xmlns="http://schemas.openxmlformats.org/spreadsheetml/2006/main" count="449" uniqueCount="276">
  <si>
    <t>Parameter</t>
  </si>
  <si>
    <t>Value</t>
  </si>
  <si>
    <t>Units</t>
  </si>
  <si>
    <t>Description</t>
  </si>
  <si>
    <t>Notes</t>
  </si>
  <si>
    <t>rho</t>
  </si>
  <si>
    <t>kg/m^3</t>
  </si>
  <si>
    <t>Air density</t>
  </si>
  <si>
    <t>Anderson</t>
  </si>
  <si>
    <t>SL air density</t>
  </si>
  <si>
    <t>visc</t>
  </si>
  <si>
    <t>Pa-s</t>
  </si>
  <si>
    <t>Air viscosity</t>
  </si>
  <si>
    <t>NIST</t>
  </si>
  <si>
    <t>g</t>
  </si>
  <si>
    <t>m/s</t>
  </si>
  <si>
    <t>Gravitational constant</t>
  </si>
  <si>
    <t>mu_TO</t>
  </si>
  <si>
    <t>-</t>
  </si>
  <si>
    <t>Takeoff friction coeff</t>
  </si>
  <si>
    <t>Gudmundsson, table 18-4</t>
  </si>
  <si>
    <t>Concrete, no brakes</t>
  </si>
  <si>
    <t>mu_L</t>
  </si>
  <si>
    <t>Landing friction coeff</t>
  </si>
  <si>
    <t>Wet grass, no brakes</t>
  </si>
  <si>
    <t>Oswald span efficiency</t>
  </si>
  <si>
    <t>AR</t>
  </si>
  <si>
    <t>Wing aspect ratio</t>
  </si>
  <si>
    <t>Sadraey, table 5.8</t>
  </si>
  <si>
    <t>Home-built/GA</t>
  </si>
  <si>
    <t>Induced drag factor</t>
  </si>
  <si>
    <t>Sadraey, eqn 4.41</t>
  </si>
  <si>
    <t>CL_C</t>
  </si>
  <si>
    <t>Cruise CL</t>
  </si>
  <si>
    <t>Sadraey, ch. 4 pg. 132</t>
  </si>
  <si>
    <t>CL_max</t>
  </si>
  <si>
    <t>Max CL (at stall)</t>
  </si>
  <si>
    <t>Sadraey, table 4.11</t>
  </si>
  <si>
    <t>Home-built</t>
  </si>
  <si>
    <t>CL_TO</t>
  </si>
  <si>
    <t>Takeoff CL</t>
  </si>
  <si>
    <t>Sadraey, eqn 4.69c</t>
  </si>
  <si>
    <t>Before rotation, no flaps, therefore similar to cruise</t>
  </si>
  <si>
    <t>CL_R</t>
  </si>
  <si>
    <t>Rotation CL</t>
  </si>
  <si>
    <t>Calculated</t>
  </si>
  <si>
    <t>From CL_max and mult_V_TO</t>
  </si>
  <si>
    <t>CD_0</t>
  </si>
  <si>
    <t>Sadraey, table 4.12</t>
  </si>
  <si>
    <t>Home-built/GA, fixed gear, same for TO (no flaps)</t>
  </si>
  <si>
    <t>CD at cruise</t>
  </si>
  <si>
    <t>Sadraey, eqn 4.40</t>
  </si>
  <si>
    <t>CD_TO</t>
  </si>
  <si>
    <t>CD at takeoff</t>
  </si>
  <si>
    <t>Sadraey, eqn 4.68</t>
  </si>
  <si>
    <t>CD_G</t>
  </si>
  <si>
    <t>Ground roll CD</t>
  </si>
  <si>
    <t>Sadraey, eqn 4.67a</t>
  </si>
  <si>
    <t>L_D_max</t>
  </si>
  <si>
    <t>Max lift efficiency</t>
  </si>
  <si>
    <t>Assumed at cruise</t>
  </si>
  <si>
    <t>V_S</t>
  </si>
  <si>
    <t>Stall speed</t>
  </si>
  <si>
    <t>In range from Guimaraes</t>
  </si>
  <si>
    <t>mult_V_TO</t>
  </si>
  <si>
    <t>Takeoff speed multiplier</t>
  </si>
  <si>
    <t>V_TO</t>
  </si>
  <si>
    <t>Takeoff speed</t>
  </si>
  <si>
    <t>V_C</t>
  </si>
  <si>
    <t>Cruise speed</t>
  </si>
  <si>
    <t>From CL_max, V_S, and CL_C</t>
  </si>
  <si>
    <t>V_M</t>
  </si>
  <si>
    <t>Manuever speed</t>
  </si>
  <si>
    <t>V_S_M</t>
  </si>
  <si>
    <t>Manuever stall speed</t>
  </si>
  <si>
    <t>AAE 451, constraints slide 19</t>
  </si>
  <si>
    <t>n</t>
  </si>
  <si>
    <t>Max load factor</t>
  </si>
  <si>
    <t>Sadraey, table 10.9</t>
  </si>
  <si>
    <t>R_M</t>
  </si>
  <si>
    <t>m</t>
  </si>
  <si>
    <t>Turn radius</t>
  </si>
  <si>
    <t>bank_angle</t>
  </si>
  <si>
    <t>deg</t>
  </si>
  <si>
    <t>Bank angle</t>
  </si>
  <si>
    <t>phi_C</t>
  </si>
  <si>
    <t>Cruise throttle</t>
  </si>
  <si>
    <t>Sadraey, ch. 4 pg. 126</t>
  </si>
  <si>
    <t>eta_p</t>
  </si>
  <si>
    <t>Cruise propellor efficiency</t>
  </si>
  <si>
    <t>Gudmundsson, table 3-3</t>
  </si>
  <si>
    <t>eta_p_TO</t>
  </si>
  <si>
    <t>Takeoff propellor efficiency</t>
  </si>
  <si>
    <t>climb_alt</t>
  </si>
  <si>
    <t>Mission altitude</t>
  </si>
  <si>
    <t>Mission requirements</t>
  </si>
  <si>
    <t>climb_dist</t>
  </si>
  <si>
    <t>Distance for climb to alt</t>
  </si>
  <si>
    <t>Estimated from mission flight path</t>
  </si>
  <si>
    <t>gamma</t>
  </si>
  <si>
    <t>Climb angle</t>
  </si>
  <si>
    <t>S_TO</t>
  </si>
  <si>
    <t>Takeoff distance</t>
  </si>
  <si>
    <t>RFP requirements</t>
  </si>
  <si>
    <t>W_S_design</t>
  </si>
  <si>
    <t>N/m^2</t>
  </si>
  <si>
    <t>Wing loading</t>
  </si>
  <si>
    <t>W_P_design</t>
  </si>
  <si>
    <t>N/W</t>
  </si>
  <si>
    <t>Power loading</t>
  </si>
  <si>
    <t>W_e_frac</t>
  </si>
  <si>
    <t>Empty Weight Fraction</t>
  </si>
  <si>
    <t>MTOM</t>
  </si>
  <si>
    <t>kg</t>
  </si>
  <si>
    <t>Takeoff mass</t>
  </si>
  <si>
    <t>From weight estimation code</t>
  </si>
  <si>
    <t>MTOW</t>
  </si>
  <si>
    <t>N</t>
  </si>
  <si>
    <t>Takeoff weight</t>
  </si>
  <si>
    <t>S_wing</t>
  </si>
  <si>
    <t>m^2</t>
  </si>
  <si>
    <t>Wing area</t>
  </si>
  <si>
    <t>Moment Coefficient</t>
  </si>
  <si>
    <t>XFLR5</t>
  </si>
  <si>
    <t>Chord of wing</t>
  </si>
  <si>
    <t>x_ac</t>
  </si>
  <si>
    <t>Aerodynamic Center of Wing</t>
  </si>
  <si>
    <t>l_t</t>
  </si>
  <si>
    <t>M</t>
  </si>
  <si>
    <t>Wing AC to tail AC length</t>
  </si>
  <si>
    <t>E</t>
  </si>
  <si>
    <t>Elevator Chord Fraction</t>
  </si>
  <si>
    <t>Standard Value</t>
  </si>
  <si>
    <t>CL_0</t>
  </si>
  <si>
    <t>Lift at zero AoA</t>
  </si>
  <si>
    <t>Chord of the tail</t>
  </si>
  <si>
    <t>Made up, need real val</t>
  </si>
  <si>
    <t>Aspect Ratio of the tail</t>
  </si>
  <si>
    <t>Smaller than wing to delay stall</t>
  </si>
  <si>
    <t>e_t</t>
  </si>
  <si>
    <t>Oswald span efficiency, tail</t>
  </si>
  <si>
    <t>CD_cruise</t>
  </si>
  <si>
    <t>CM_ac_w</t>
  </si>
  <si>
    <t>SM</t>
  </si>
  <si>
    <t>Static Margin</t>
  </si>
  <si>
    <t>Wing Span</t>
  </si>
  <si>
    <t>Initial Sizing Source</t>
  </si>
  <si>
    <t>wingspan</t>
  </si>
  <si>
    <t>len_fuselage</t>
  </si>
  <si>
    <t>width_fuselage</t>
  </si>
  <si>
    <t>Fuselage width</t>
  </si>
  <si>
    <t>S_wet_fuselage</t>
  </si>
  <si>
    <t>Fuselage length</t>
  </si>
  <si>
    <t>Fuselage wetted area</t>
  </si>
  <si>
    <t>SD7062 max thickness</t>
  </si>
  <si>
    <t>xcm_wing</t>
  </si>
  <si>
    <t>SD7062 location of max thickness</t>
  </si>
  <si>
    <t>span_hstab</t>
  </si>
  <si>
    <t>c_hstab</t>
  </si>
  <si>
    <t>tc_hstab</t>
  </si>
  <si>
    <t>tc_wing</t>
  </si>
  <si>
    <t>xcm_hstab</t>
  </si>
  <si>
    <t>c_vstab</t>
  </si>
  <si>
    <t>span_vstab</t>
  </si>
  <si>
    <t>AR_hstab</t>
  </si>
  <si>
    <t>AR_vstab</t>
  </si>
  <si>
    <t>main_wheel_dia</t>
  </si>
  <si>
    <t>main_wheel_width</t>
  </si>
  <si>
    <t>main_gear_len</t>
  </si>
  <si>
    <t>main_strut_dia</t>
  </si>
  <si>
    <t>tail_wheel_dia</t>
  </si>
  <si>
    <t>tail_wheel_width</t>
  </si>
  <si>
    <t>tail_gear_len</t>
  </si>
  <si>
    <t>tail_strut_dia</t>
  </si>
  <si>
    <t>DqA_wheel</t>
  </si>
  <si>
    <t>Landing wheel drag factor</t>
  </si>
  <si>
    <t>DqA_strut</t>
  </si>
  <si>
    <t>Landing strut drag factor</t>
  </si>
  <si>
    <t>e_wing</t>
  </si>
  <si>
    <t>Sadraey, eqn 5.27a</t>
  </si>
  <si>
    <t>c_wing</t>
  </si>
  <si>
    <t>tc_vstab</t>
  </si>
  <si>
    <t>xcm_vstab</t>
  </si>
  <si>
    <t>K_wing</t>
  </si>
  <si>
    <t>Source</t>
  </si>
  <si>
    <t>Drag code</t>
  </si>
  <si>
    <t>K_hstab</t>
  </si>
  <si>
    <t>Horizontal stab induced drag factor</t>
  </si>
  <si>
    <t>Thin airfoil theory</t>
  </si>
  <si>
    <t>St_S</t>
  </si>
  <si>
    <t>Tail to wing area ratio</t>
  </si>
  <si>
    <t>??</t>
  </si>
  <si>
    <t>CD_0_misc_factor</t>
  </si>
  <si>
    <t>V_v</t>
  </si>
  <si>
    <t>--</t>
  </si>
  <si>
    <t>Vertical Tail Coefficient</t>
  </si>
  <si>
    <t>df</t>
  </si>
  <si>
    <t>zw</t>
  </si>
  <si>
    <t>Body Depth of Wing</t>
  </si>
  <si>
    <t>Wing Root Height</t>
  </si>
  <si>
    <t>NACA 0010 max thickness</t>
  </si>
  <si>
    <t>NACA 0010 location of max thickness</t>
  </si>
  <si>
    <t>Subclass</t>
  </si>
  <si>
    <t>env</t>
  </si>
  <si>
    <t>aero</t>
  </si>
  <si>
    <t>geometry</t>
  </si>
  <si>
    <t>performance</t>
  </si>
  <si>
    <t>prop</t>
  </si>
  <si>
    <t>Recalc with V_C, MTOW</t>
  </si>
  <si>
    <t>Parasitic drag</t>
  </si>
  <si>
    <t>CM_0_Wing</t>
  </si>
  <si>
    <t>CM of Wing at 0 AoA</t>
  </si>
  <si>
    <t>Airfoil_Alpha_Stall</t>
  </si>
  <si>
    <t>kappa</t>
  </si>
  <si>
    <t>AR_v</t>
  </si>
  <si>
    <t>Vertical Tail Aspect Ratio</t>
  </si>
  <si>
    <t>E_r</t>
  </si>
  <si>
    <t>Rudder Chord Fraction</t>
  </si>
  <si>
    <t>delta_r_limit</t>
  </si>
  <si>
    <t>Max Rudder Deflection</t>
  </si>
  <si>
    <t>crosswind_ratio</t>
  </si>
  <si>
    <t>Cross Wind Ratio</t>
  </si>
  <si>
    <t>roll_rate_target_dps</t>
  </si>
  <si>
    <t>deg/s</t>
  </si>
  <si>
    <t>Roll Rate Target</t>
  </si>
  <si>
    <t>E_a</t>
  </si>
  <si>
    <t>Aileron Chord Fraction</t>
  </si>
  <si>
    <t>y1_frac</t>
  </si>
  <si>
    <t>y2_frac</t>
  </si>
  <si>
    <t>Aileron Span Fractions of the Semi Span</t>
  </si>
  <si>
    <t>delta_a_limit</t>
  </si>
  <si>
    <t>Max Aileron Deflection</t>
  </si>
  <si>
    <t>Gamma_dihedral_deg</t>
  </si>
  <si>
    <t>Dihedral Initialization</t>
  </si>
  <si>
    <t>PARAMETER</t>
  </si>
  <si>
    <t>AILERON</t>
  </si>
  <si>
    <t>ELEVATOR</t>
  </si>
  <si>
    <t>RUDDER</t>
  </si>
  <si>
    <t>Reference (root) chord, c  (m)</t>
  </si>
  <si>
    <t>Control-surface chord fraction, Ef = cf/c</t>
  </si>
  <si>
    <t>Control-surface chord, cf = Ef*c  (m)</t>
  </si>
  <si>
    <t>Control-surface span, bf  (m)</t>
  </si>
  <si>
    <t>Max deflection, delta_max  (deg)</t>
  </si>
  <si>
    <t>Local AoA assumed for this case, alpha  (deg)</t>
  </si>
  <si>
    <t>Design airspeed for this case, V  (m/s)</t>
  </si>
  <si>
    <t>Air density, rho  (kg/m^3)</t>
  </si>
  <si>
    <t>Extra servo safety margin factor  (x)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</si>
  <si>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</si>
  <si>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</si>
  <si>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</si>
  <si>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</si>
  <si>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</si>
  <si>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</si>
  <si>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</si>
  <si>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</si>
  <si>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</si>
  <si>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</si>
  <si>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</si>
  <si>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</si>
  <si>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</si>
  <si>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</si>
  <si>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</si>
  <si>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</si>
  <si>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</si>
  <si>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Ch_alpha, Ch_delta from closed-form thin-airfoil (Glauert) flap theory, verified</t>
  </si>
  <si>
    <t>against an independent numerical vortex-panel solution to 4 sig. figs.</t>
  </si>
  <si>
    <t>Yellow cells are NOT linked to INPUTS -- check/edit them:</t>
  </si>
  <si>
    <t xml:space="preserve"> - Elevator delta_max is not in INPUTS; 25 deg placeholder used, please confirm.</t>
  </si>
  <si>
    <t xml:space="preserve"> - alpha assumption per surface defaults to 0 deg (pure control deflection case);</t>
  </si>
  <si>
    <t xml:space="preserve">   raise it for combined maneuver cases (e.g. elevator at high AoA).</t>
  </si>
  <si>
    <t xml:space="preserve"> - V_design defaults to V_C (cruise); consider a higher design/dive speed if known.</t>
  </si>
  <si>
    <t>Theory is inviscid/2-D and typically over-predicts real hinge moment ~2x --</t>
  </si>
  <si>
    <t>conservative (safe) for servo torque sizing, but state that factor in the report.</t>
  </si>
  <si>
    <t>Control-Surface Hinge Moments - Thin-Airfoil (Glauert) Theory</t>
  </si>
  <si>
    <t>Geometry linked live from the INPUTS sheet. Inviscid 2-D theory typically over-predicts the real hinge moment by ~2x - conservative for servo sizing.</t>
  </si>
  <si>
    <t>Vertical Stabilizer Chord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</si>
</sst>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E+00"/>
    <numFmt numFmtId="165" formatCode="0.000"/>
    <numFmt numFmtId="166" formatCode="0.0"/>
    <numFmt numFmtId="167" formatCode="0.0000"/>
  </numFmts>
  <fonts count="6" x14ac:knownFonts="1">
    <font>
      <sz val="11"/>
      <color indexed="8"/>
      <name val="Calibri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</fills>
  <borders count="13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/>
      <right style="thin">
        <color indexed="10"/>
      </right>
      <top style="thin">
        <color indexed="11"/>
      </top>
      <bottom style="thin">
        <color indexed="11"/>
      </bottom>
      <diagonal/>
    </border>
    <border>
      <left/>
      <right style="thin">
        <color indexed="10"/>
      </right>
      <top style="thin">
        <color indexed="11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/>
      <right style="thin">
        <color indexed="10"/>
      </right>
      <top/>
      <bottom/>
      <diagonal/>
    </border>
  </borders>
  <cellStyleXfs count="1">
    <xf numFmtId="0" fontId="0" fillId="0" borderId="0" applyNumberFormat="0" applyFill="0" applyBorder="0" applyProtection="0"/>
  </cellStyleXfs>
  <cellXfs count="51">
    <xf numFmtId="0" fontId="0" fillId="0" borderId="0" xfId="0"/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49" fontId="0" fillId="2" borderId="2" xfId="0" applyNumberFormat="1" applyFill="1" applyBorder="1"/>
    <xf numFmtId="49" fontId="1" fillId="2" borderId="1" xfId="0" applyNumberFormat="1" applyFont="1" applyFill="1" applyBorder="1"/>
    <xf numFmtId="0" fontId="1" fillId="2" borderId="1" xfId="0" applyFont="1" applyFill="1" applyBorder="1"/>
    <xf numFmtId="49" fontId="2" fillId="2" borderId="1" xfId="0" applyNumberFormat="1" applyFont="1" applyFill="1" applyBorder="1"/>
    <xf numFmtId="0" fontId="1" fillId="2" borderId="1" xfId="0" quotePrefix="1" applyFont="1" applyFill="1" applyBorder="1"/>
    <xf numFmtId="0" fontId="0" fillId="2" borderId="1" xfId="0" quotePrefix="1" applyFill="1" applyBorder="1"/>
    <xf numFmtId="49" fontId="2" fillId="2" borderId="4" xfId="0" applyNumberFormat="1" applyFont="1" applyFill="1" applyBorder="1"/>
    <xf numFmtId="49" fontId="0" fillId="2" borderId="4" xfId="0" applyNumberFormat="1" applyFill="1" applyBorder="1"/>
    <xf numFmtId="49" fontId="1" fillId="2" borderId="4" xfId="0" applyNumberFormat="1" applyFont="1" applyFill="1" applyBorder="1"/>
    <xf numFmtId="0" fontId="1" fillId="2" borderId="4" xfId="0" applyFont="1" applyFill="1" applyBorder="1"/>
    <xf numFmtId="0" fontId="0" fillId="2" borderId="4" xfId="0" applyFill="1" applyBorder="1"/>
    <xf numFmtId="49" fontId="2" fillId="2" borderId="5" xfId="0" applyNumberFormat="1" applyFont="1" applyFill="1" applyBorder="1"/>
    <xf numFmtId="0" fontId="0" fillId="0" borderId="6" xfId="0" applyNumberFormat="1" applyFill="1" applyBorder="1"/>
    <xf numFmtId="164" fontId="0" fillId="0" borderId="6" xfId="0" applyNumberFormat="1" applyFill="1" applyBorder="1"/>
    <xf numFmtId="2" fontId="0" fillId="0" borderId="6" xfId="0" applyNumberFormat="1" applyFill="1" applyBorder="1"/>
    <xf numFmtId="165" fontId="0" fillId="0" borderId="6" xfId="0" applyNumberFormat="1" applyFill="1" applyBorder="1"/>
    <xf numFmtId="166" fontId="0" fillId="0" borderId="6" xfId="0" applyNumberFormat="1" applyFill="1" applyBorder="1"/>
    <xf numFmtId="0" fontId="0" fillId="0" borderId="7" xfId="0" applyNumberFormat="1" applyFill="1" applyBorder="1"/>
    <xf numFmtId="2" fontId="0" fillId="0" borderId="7" xfId="0" applyNumberFormat="1" applyFill="1" applyBorder="1"/>
    <xf numFmtId="167" fontId="0" fillId="0" borderId="8" xfId="0" applyNumberFormat="1" applyFill="1" applyBorder="1"/>
    <xf numFmtId="0" fontId="0" fillId="0" borderId="9" xfId="0" applyNumberFormat="1" applyFill="1" applyBorder="1"/>
    <xf numFmtId="165" fontId="0" fillId="2" borderId="9" xfId="0" applyNumberFormat="1" applyFill="1" applyBorder="1"/>
    <xf numFmtId="0" fontId="0" fillId="2" borderId="9" xfId="0" applyNumberFormat="1" applyFill="1" applyBorder="1"/>
    <xf numFmtId="2" fontId="0" fillId="2" borderId="9" xfId="0" applyNumberFormat="1" applyFill="1" applyBorder="1"/>
    <xf numFmtId="0" fontId="0" fillId="2" borderId="9" xfId="0" applyFill="1" applyBorder="1"/>
    <xf numFmtId="0" fontId="2" fillId="0" borderId="3" xfId="0" applyFont="1" applyBorder="1"/>
    <xf numFmtId="0" fontId="1" fillId="0" borderId="3" xfId="0" applyFont="1" applyBorder="1"/>
    <xf numFmtId="0" fontId="0" fillId="2" borderId="3" xfId="0" applyFill="1" applyBorder="1"/>
    <xf numFmtId="0" fontId="0" fillId="0" borderId="3" xfId="0" applyNumberFormat="1" applyBorder="1"/>
    <xf numFmtId="167" fontId="0" fillId="0" borderId="6" xfId="0" applyNumberFormat="1" applyFill="1" applyBorder="1"/>
    <xf numFmtId="0" fontId="1" fillId="2" borderId="3" xfId="0" applyFont="1" applyFill="1" applyBorder="1"/>
    <xf numFmtId="0" fontId="1" fillId="2" borderId="12" xfId="0" applyNumberFormat="1" applyFont="1" applyFill="1" applyBorder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3" borderId="0" xfId="0" applyFont="1" applyFill="1"/>
    <xf numFmtId="165" fontId="0" fillId="0" borderId="0" xfId="0" applyNumberFormat="1"/>
    <xf numFmtId="167" fontId="0" fillId="0" borderId="0" xfId="0" applyNumberFormat="1"/>
    <xf numFmtId="166" fontId="0" fillId="0" borderId="0" xfId="0" applyNumberFormat="1"/>
    <xf numFmtId="2" fontId="2" fillId="5" borderId="0" xfId="0" applyNumberFormat="1" applyFont="1" applyFill="1"/>
    <xf numFmtId="0" fontId="1" fillId="4" borderId="0" xfId="0" applyFont="1" applyFill="1"/>
    <xf numFmtId="165" fontId="1" fillId="4" borderId="0" xfId="0" applyNumberFormat="1" applyFont="1" applyFill="1"/>
    <xf numFmtId="167" fontId="1" fillId="5" borderId="0" xfId="0" applyNumberFormat="1" applyFont="1" applyFill="1"/>
    <xf numFmtId="166" fontId="1" fillId="4" borderId="0" xfId="0" applyNumberFormat="1" applyFont="1" applyFill="1"/>
    <xf numFmtId="167" fontId="2" fillId="5" borderId="0" xfId="0" applyNumberFormat="1" applyFont="1" applyFill="1"/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7F7F7F"/>
      <rgbColor rgb="FF3F3F76"/>
      <rgbColor rgb="FFFFCC99"/>
      <rgbColor rgb="FFFA7D00"/>
      <rgbColor rgb="FFF2F2F2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21</xdr:row>
      <xdr:rowOff>183515</xdr:rowOff>
    </xdr:from>
    <xdr:to>
      <xdr:col>17</xdr:col>
      <xdr:colOff>39108</xdr:colOff>
      <xdr:row>37</xdr:row>
      <xdr:rowOff>62871</xdr:rowOff>
    </xdr:to>
    <xdr:pic>
      <xdr:nvPicPr>
        <xdr:cNvPr id="2" name="Picture 1" descr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28100" y="4037329"/>
          <a:ext cx="4077709" cy="281559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11</xdr:col>
      <xdr:colOff>9151</xdr:colOff>
      <xdr:row>37</xdr:row>
      <xdr:rowOff>141220</xdr:rowOff>
    </xdr:from>
    <xdr:to>
      <xdr:col>17</xdr:col>
      <xdr:colOff>43963</xdr:colOff>
      <xdr:row>53</xdr:row>
      <xdr:rowOff>67330</xdr:rowOff>
    </xdr:to>
    <xdr:pic>
      <xdr:nvPicPr>
        <xdr:cNvPr id="3" name="Picture 2" descr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17478" y="6918624"/>
          <a:ext cx="3639658" cy="230736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179294</xdr:colOff>
      <xdr:row>120</xdr:row>
      <xdr:rowOff>167247</xdr:rowOff>
    </xdr:from>
    <xdr:to>
      <xdr:col>4</xdr:col>
      <xdr:colOff>1096331</xdr:colOff>
      <xdr:row>132</xdr:row>
      <xdr:rowOff>166935</xdr:rowOff>
    </xdr:to>
    <xdr:pic>
      <xdr:nvPicPr>
        <xdr:cNvPr id="4" name="Picture 3" descr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9294" y="21682541"/>
          <a:ext cx="4718072" cy="215121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8</xdr:col>
      <xdr:colOff>297995</xdr:colOff>
      <xdr:row>70</xdr:row>
      <xdr:rowOff>108868</xdr:rowOff>
    </xdr:from>
    <xdr:to>
      <xdr:col>16</xdr:col>
      <xdr:colOff>153761</xdr:colOff>
      <xdr:row>90</xdr:row>
      <xdr:rowOff>775</xdr:rowOff>
    </xdr:to>
    <xdr:pic>
      <xdr:nvPicPr>
        <xdr:cNvPr id="5" name="Picture 4" descr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206794" y="12404373"/>
          <a:ext cx="5240568" cy="356220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8</xdr:col>
      <xdr:colOff>254451</xdr:colOff>
      <xdr:row>62</xdr:row>
      <xdr:rowOff>81649</xdr:rowOff>
    </xdr:from>
    <xdr:to>
      <xdr:col>15</xdr:col>
      <xdr:colOff>475977</xdr:colOff>
      <xdr:row>68</xdr:row>
      <xdr:rowOff>60011</xdr:rowOff>
    </xdr:to>
    <xdr:pic>
      <xdr:nvPicPr>
        <xdr:cNvPr id="6" name="Picture 5" descr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163251" y="10909034"/>
          <a:ext cx="4933227" cy="107945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212997</xdr:colOff>
      <xdr:row>128</xdr:row>
      <xdr:rowOff>150591</xdr:rowOff>
    </xdr:from>
    <xdr:to>
      <xdr:col>6</xdr:col>
      <xdr:colOff>612867</xdr:colOff>
      <xdr:row>136</xdr:row>
      <xdr:rowOff>172582</xdr:rowOff>
    </xdr:to>
    <xdr:pic>
      <xdr:nvPicPr>
        <xdr:cNvPr id="7" name="Picture 6" descr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12997" y="23100238"/>
          <a:ext cx="8073658" cy="1456344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296354</xdr:colOff>
      <xdr:row>117</xdr:row>
      <xdr:rowOff>23624</xdr:rowOff>
    </xdr:from>
    <xdr:to>
      <xdr:col>6</xdr:col>
      <xdr:colOff>1534604</xdr:colOff>
      <xdr:row>119</xdr:row>
      <xdr:rowOff>127737</xdr:rowOff>
    </xdr:to>
    <xdr:pic>
      <xdr:nvPicPr>
        <xdr:cNvPr id="8" name="Picture 7" descr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96354" y="21001036"/>
          <a:ext cx="8912038" cy="462701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9</xdr:col>
      <xdr:colOff>104775</xdr:colOff>
      <xdr:row>92</xdr:row>
      <xdr:rowOff>142880</xdr:rowOff>
    </xdr:from>
    <xdr:to>
      <xdr:col>15</xdr:col>
      <xdr:colOff>244370</xdr:colOff>
      <xdr:row>113</xdr:row>
      <xdr:rowOff>53886</xdr:rowOff>
    </xdr:to>
    <xdr:pic>
      <xdr:nvPicPr>
        <xdr:cNvPr id="9" name="Picture 8" descr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86675" y="16475715"/>
          <a:ext cx="4178196" cy="376482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535382</xdr:colOff>
      <xdr:row>139</xdr:row>
      <xdr:rowOff>38190</xdr:rowOff>
    </xdr:from>
    <xdr:to>
      <xdr:col>6</xdr:col>
      <xdr:colOff>1318555</xdr:colOff>
      <xdr:row>155</xdr:row>
      <xdr:rowOff>7833</xdr:rowOff>
    </xdr:to>
    <xdr:pic>
      <xdr:nvPicPr>
        <xdr:cNvPr id="10" name="Picture 9" descr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35382" y="24960072"/>
          <a:ext cx="8456961" cy="283834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722218</xdr:colOff>
      <xdr:row>156</xdr:row>
      <xdr:rowOff>159598</xdr:rowOff>
    </xdr:from>
    <xdr:to>
      <xdr:col>6</xdr:col>
      <xdr:colOff>1342808</xdr:colOff>
      <xdr:row>171</xdr:row>
      <xdr:rowOff>167369</xdr:rowOff>
    </xdr:to>
    <xdr:pic>
      <xdr:nvPicPr>
        <xdr:cNvPr id="11" name="Picture 10" descr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22218" y="28129480"/>
          <a:ext cx="8294378" cy="269718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58615</xdr:colOff>
      <xdr:row>132</xdr:row>
      <xdr:rowOff>130415</xdr:rowOff>
    </xdr:from>
    <xdr:to>
      <xdr:col>17</xdr:col>
      <xdr:colOff>366931</xdr:colOff>
      <xdr:row>139</xdr:row>
      <xdr:rowOff>25826</xdr:rowOff>
    </xdr:to>
    <xdr:pic>
      <xdr:nvPicPr>
        <xdr:cNvPr id="12" name="Picture 11" descr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52038" y="23942915"/>
          <a:ext cx="6096585" cy="117762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 editAs="oneCell">
    <xdr:from>
      <xdr:col>7</xdr:col>
      <xdr:colOff>443594</xdr:colOff>
      <xdr:row>54</xdr:row>
      <xdr:rowOff>92527</xdr:rowOff>
    </xdr:from>
    <xdr:to>
      <xdr:col>14</xdr:col>
      <xdr:colOff>477883</xdr:colOff>
      <xdr:row>61</xdr:row>
      <xdr:rowOff>129905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4A87FAB-D197-5904-4F5D-43C9526A88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7549244" y="9865177"/>
          <a:ext cx="6200774" cy="13003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2"/>
  <sheetViews>
    <sheetView showGridLines="0" topLeftCell="A48" zoomScaleNormal="100" workbookViewId="0">
      <selection activeCell="E60" sqref="E60"/>
    </sheetView>
  </sheetViews>
  <sheetFormatPr defaultColWidth="8.6640625" defaultRowHeight="14.85" customHeight="1" x14ac:dyDescent="0.3"/>
  <cols>
    <col min="1" max="1" width="18.44140625" style="1" bestFit="1" customWidth="1"/>
    <col min="2" max="2" width="18.44140625" style="32" customWidth="1"/>
    <col min="3" max="3" width="9.88671875" style="1" bestFit="1" customWidth="1"/>
    <col min="4" max="4" width="8.6640625" style="1" customWidth="1"/>
    <col min="5" max="5" width="34.109375" style="1" bestFit="1" customWidth="1"/>
    <col min="6" max="6" width="22.33203125" style="1" bestFit="1" customWidth="1"/>
    <col min="7" max="7" width="25.6640625" style="1" customWidth="1"/>
    <col min="8" max="8" width="40.33203125" style="1" bestFit="1" customWidth="1"/>
    <col min="9" max="20" width="8.6640625" style="1" customWidth="1"/>
    <col min="21" max="16384" width="8.6640625" style="1"/>
  </cols>
  <sheetData>
    <row r="1" spans="1:19" ht="14.85" customHeight="1" x14ac:dyDescent="0.3">
      <c r="A1" s="10" t="s">
        <v>0</v>
      </c>
      <c r="B1" s="29" t="s">
        <v>202</v>
      </c>
      <c r="C1" s="15" t="s">
        <v>1</v>
      </c>
      <c r="D1" s="7" t="s">
        <v>2</v>
      </c>
      <c r="E1" s="7" t="s">
        <v>3</v>
      </c>
      <c r="F1" s="7" t="s">
        <v>184</v>
      </c>
      <c r="G1" s="7" t="s">
        <v>146</v>
      </c>
      <c r="H1" s="7" t="s">
        <v>4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ht="14.85" customHeight="1" x14ac:dyDescent="0.3">
      <c r="A2" s="11" t="s">
        <v>5</v>
      </c>
      <c r="B2" s="30" t="s">
        <v>203</v>
      </c>
      <c r="C2" s="16">
        <v>1.2250000000000001</v>
      </c>
      <c r="D2" s="4" t="s">
        <v>6</v>
      </c>
      <c r="E2" s="2" t="s">
        <v>7</v>
      </c>
      <c r="F2" s="2"/>
      <c r="G2" s="2" t="s">
        <v>8</v>
      </c>
      <c r="H2" s="2" t="s">
        <v>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ht="14.85" customHeight="1" x14ac:dyDescent="0.3">
      <c r="A3" s="11" t="s">
        <v>10</v>
      </c>
      <c r="B3" s="30" t="s">
        <v>203</v>
      </c>
      <c r="C3" s="17">
        <v>1.7960000000000001E-5</v>
      </c>
      <c r="D3" s="4" t="s">
        <v>11</v>
      </c>
      <c r="E3" s="2" t="s">
        <v>12</v>
      </c>
      <c r="F3" s="2"/>
      <c r="G3" s="2" t="s">
        <v>13</v>
      </c>
      <c r="H3" s="2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19" ht="14.85" customHeight="1" x14ac:dyDescent="0.3">
      <c r="A4" s="11" t="s">
        <v>14</v>
      </c>
      <c r="B4" s="30" t="s">
        <v>203</v>
      </c>
      <c r="C4" s="16">
        <v>9.81</v>
      </c>
      <c r="D4" s="4" t="s">
        <v>15</v>
      </c>
      <c r="E4" s="2" t="s">
        <v>16</v>
      </c>
      <c r="F4" s="2"/>
      <c r="G4" s="2" t="s">
        <v>13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spans="1:19" ht="14.85" customHeight="1" x14ac:dyDescent="0.3">
      <c r="A5" s="11" t="s">
        <v>17</v>
      </c>
      <c r="B5" s="30" t="s">
        <v>203</v>
      </c>
      <c r="C5" s="16">
        <v>0.05</v>
      </c>
      <c r="D5" s="4" t="s">
        <v>18</v>
      </c>
      <c r="E5" s="2" t="s">
        <v>19</v>
      </c>
      <c r="F5" s="2"/>
      <c r="G5" s="2" t="s">
        <v>20</v>
      </c>
      <c r="H5" s="2" t="s">
        <v>21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ht="14.85" customHeight="1" x14ac:dyDescent="0.3">
      <c r="A6" s="11" t="s">
        <v>22</v>
      </c>
      <c r="B6" s="30" t="s">
        <v>203</v>
      </c>
      <c r="C6" s="16">
        <v>0.08</v>
      </c>
      <c r="D6" s="4" t="s">
        <v>18</v>
      </c>
      <c r="E6" s="2" t="s">
        <v>23</v>
      </c>
      <c r="F6" s="2"/>
      <c r="G6" s="2" t="s">
        <v>20</v>
      </c>
      <c r="H6" s="2" t="s">
        <v>24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ht="14.85" customHeight="1" x14ac:dyDescent="0.3">
      <c r="A7" s="12" t="s">
        <v>178</v>
      </c>
      <c r="B7" s="30" t="s">
        <v>204</v>
      </c>
      <c r="C7" s="18">
        <f>1.78*(1-0.045*C8^0.68)-0.64</f>
        <v>0.90801296185572322</v>
      </c>
      <c r="D7" s="4" t="s">
        <v>18</v>
      </c>
      <c r="E7" s="2" t="s">
        <v>25</v>
      </c>
      <c r="F7" s="2"/>
      <c r="G7" s="5" t="s">
        <v>179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19" ht="14.85" customHeight="1" x14ac:dyDescent="0.3">
      <c r="A8" s="11" t="s">
        <v>26</v>
      </c>
      <c r="B8" s="30" t="s">
        <v>205</v>
      </c>
      <c r="C8" s="18">
        <f>C54/C42</f>
        <v>4.777091231498102</v>
      </c>
      <c r="D8" s="4" t="s">
        <v>18</v>
      </c>
      <c r="E8" s="2" t="s">
        <v>27</v>
      </c>
      <c r="F8" s="2"/>
      <c r="G8" s="2" t="s">
        <v>28</v>
      </c>
      <c r="H8" s="2" t="s">
        <v>29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</row>
    <row r="9" spans="1:19" ht="14.85" customHeight="1" x14ac:dyDescent="0.3">
      <c r="A9" s="12" t="s">
        <v>183</v>
      </c>
      <c r="B9" s="30" t="s">
        <v>204</v>
      </c>
      <c r="C9" s="19" cm="1">
        <f t="array" ref="C9">1/(PI()*C7*C8)</f>
        <v>7.3382844793574334E-2</v>
      </c>
      <c r="D9" s="4" t="s">
        <v>18</v>
      </c>
      <c r="E9" s="2" t="s">
        <v>30</v>
      </c>
      <c r="F9" s="2"/>
      <c r="G9" s="2" t="s">
        <v>31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</row>
    <row r="10" spans="1:19" ht="14.85" customHeight="1" x14ac:dyDescent="0.3">
      <c r="A10" s="11" t="s">
        <v>32</v>
      </c>
      <c r="B10" s="30" t="s">
        <v>204</v>
      </c>
      <c r="C10" s="19">
        <f>C39/(0.5*C2*C22^2*C40)</f>
        <v>0.29319856487018242</v>
      </c>
      <c r="D10" s="4" t="s">
        <v>18</v>
      </c>
      <c r="E10" s="2" t="s">
        <v>33</v>
      </c>
      <c r="F10" s="2" t="s">
        <v>208</v>
      </c>
      <c r="G10" s="2" t="s">
        <v>34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</row>
    <row r="11" spans="1:19" ht="14.85" customHeight="1" x14ac:dyDescent="0.3">
      <c r="A11" s="11" t="s">
        <v>35</v>
      </c>
      <c r="B11" s="30" t="s">
        <v>204</v>
      </c>
      <c r="C11" s="19">
        <v>1.43</v>
      </c>
      <c r="D11" s="4" t="s">
        <v>18</v>
      </c>
      <c r="E11" s="2" t="s">
        <v>36</v>
      </c>
      <c r="F11" s="2"/>
      <c r="G11" s="2" t="s">
        <v>37</v>
      </c>
      <c r="H11" s="2" t="s">
        <v>38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ht="14.85" customHeight="1" x14ac:dyDescent="0.3">
      <c r="A12" s="11" t="s">
        <v>39</v>
      </c>
      <c r="B12" s="30" t="s">
        <v>204</v>
      </c>
      <c r="C12" s="18" cm="1">
        <f t="array" ref="C12">C10</f>
        <v>0.29319856487018242</v>
      </c>
      <c r="D12" s="4" t="s">
        <v>18</v>
      </c>
      <c r="E12" s="2" t="s">
        <v>40</v>
      </c>
      <c r="F12" s="2"/>
      <c r="G12" s="2" t="s">
        <v>41</v>
      </c>
      <c r="H12" s="2" t="s">
        <v>42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ht="14.85" customHeight="1" x14ac:dyDescent="0.3">
      <c r="A13" s="11" t="s">
        <v>43</v>
      </c>
      <c r="B13" s="30" t="s">
        <v>204</v>
      </c>
      <c r="C13" s="18" cm="1">
        <f t="array" ref="C13">C11/C20^2</f>
        <v>1.1818181818181817</v>
      </c>
      <c r="D13" s="4" t="s">
        <v>18</v>
      </c>
      <c r="E13" s="2" t="s">
        <v>44</v>
      </c>
      <c r="F13" s="2"/>
      <c r="G13" s="2" t="s">
        <v>45</v>
      </c>
      <c r="H13" s="2" t="s">
        <v>46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19" ht="14.85" customHeight="1" x14ac:dyDescent="0.3">
      <c r="A14" s="11" t="s">
        <v>47</v>
      </c>
      <c r="B14" s="30" t="s">
        <v>204</v>
      </c>
      <c r="C14" s="33">
        <v>3.1699999999999999E-2</v>
      </c>
      <c r="D14" s="4" t="s">
        <v>18</v>
      </c>
      <c r="E14" s="2" t="s">
        <v>209</v>
      </c>
      <c r="F14" s="5" t="s">
        <v>185</v>
      </c>
      <c r="G14" s="2" t="s">
        <v>48</v>
      </c>
      <c r="H14" s="2" t="s">
        <v>49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19" ht="14.85" customHeight="1" x14ac:dyDescent="0.3">
      <c r="A15" s="12" t="s">
        <v>141</v>
      </c>
      <c r="B15" s="30" t="s">
        <v>204</v>
      </c>
      <c r="C15" s="33" cm="1">
        <f t="array" ref="C15">C14+C9*C10^2</f>
        <v>3.8008385491482263E-2</v>
      </c>
      <c r="D15" s="4" t="s">
        <v>18</v>
      </c>
      <c r="E15" s="2" t="s">
        <v>50</v>
      </c>
      <c r="F15" s="2"/>
      <c r="G15" s="2" t="s">
        <v>51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19" ht="14.85" customHeight="1" x14ac:dyDescent="0.3">
      <c r="A16" s="11" t="s">
        <v>52</v>
      </c>
      <c r="B16" s="30" t="s">
        <v>204</v>
      </c>
      <c r="C16" s="33" cm="1">
        <f t="array" ref="C16">C14+C9*C12^2</f>
        <v>3.8008385491482263E-2</v>
      </c>
      <c r="D16" s="4" t="s">
        <v>18</v>
      </c>
      <c r="E16" s="2" t="s">
        <v>53</v>
      </c>
      <c r="F16" s="2"/>
      <c r="G16" s="2" t="s">
        <v>54</v>
      </c>
      <c r="H16" s="2" t="s">
        <v>42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ht="14.85" customHeight="1" x14ac:dyDescent="0.3">
      <c r="A17" s="11" t="s">
        <v>55</v>
      </c>
      <c r="B17" s="30" t="s">
        <v>204</v>
      </c>
      <c r="C17" s="33" cm="1">
        <f t="array" ref="C17">C16-C5*C12</f>
        <v>2.3348457247973142E-2</v>
      </c>
      <c r="D17" s="4" t="s">
        <v>18</v>
      </c>
      <c r="E17" s="2" t="s">
        <v>56</v>
      </c>
      <c r="F17" s="2"/>
      <c r="G17" s="2" t="s">
        <v>57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ht="14.85" customHeight="1" x14ac:dyDescent="0.3">
      <c r="A18" s="11" t="s">
        <v>58</v>
      </c>
      <c r="B18" s="30" t="s">
        <v>204</v>
      </c>
      <c r="C18" s="18" cm="1">
        <f t="array" ref="C18">C10/C15</f>
        <v>7.7140494414288829</v>
      </c>
      <c r="D18" s="4" t="s">
        <v>18</v>
      </c>
      <c r="E18" s="2" t="s">
        <v>59</v>
      </c>
      <c r="F18" s="2"/>
      <c r="G18" s="3"/>
      <c r="H18" s="2" t="s">
        <v>60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ht="14.85" customHeight="1" x14ac:dyDescent="0.3">
      <c r="A19" s="11" t="s">
        <v>61</v>
      </c>
      <c r="B19" s="30" t="s">
        <v>204</v>
      </c>
      <c r="C19" s="18">
        <v>10.5</v>
      </c>
      <c r="D19" s="4" t="s">
        <v>15</v>
      </c>
      <c r="E19" s="2" t="s">
        <v>62</v>
      </c>
      <c r="F19" s="2"/>
      <c r="G19" s="2" t="s">
        <v>63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ht="14.85" customHeight="1" x14ac:dyDescent="0.3">
      <c r="A20" s="11" t="s">
        <v>64</v>
      </c>
      <c r="B20" s="30" t="s">
        <v>204</v>
      </c>
      <c r="C20" s="20">
        <v>1.1000000000000001</v>
      </c>
      <c r="D20" s="4" t="s">
        <v>18</v>
      </c>
      <c r="E20" s="2" t="s">
        <v>65</v>
      </c>
      <c r="F20" s="2"/>
      <c r="G20" s="2" t="s">
        <v>34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ht="14.85" customHeight="1" x14ac:dyDescent="0.3">
      <c r="A21" s="11" t="s">
        <v>66</v>
      </c>
      <c r="B21" s="30" t="s">
        <v>206</v>
      </c>
      <c r="C21" s="18" cm="1">
        <f t="array" ref="C21">C20*C19</f>
        <v>11.55</v>
      </c>
      <c r="D21" s="4" t="s">
        <v>15</v>
      </c>
      <c r="E21" s="2" t="s">
        <v>67</v>
      </c>
      <c r="F21" s="2"/>
      <c r="G21" s="2" t="s">
        <v>34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ht="14.85" customHeight="1" x14ac:dyDescent="0.3">
      <c r="A22" s="11" t="s">
        <v>68</v>
      </c>
      <c r="B22" s="30" t="s">
        <v>206</v>
      </c>
      <c r="C22" s="18">
        <v>23</v>
      </c>
      <c r="D22" s="4" t="s">
        <v>15</v>
      </c>
      <c r="E22" s="2" t="s">
        <v>69</v>
      </c>
      <c r="F22" s="2"/>
      <c r="G22" s="3"/>
      <c r="H22" s="2" t="s">
        <v>70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ht="14.85" customHeight="1" x14ac:dyDescent="0.3">
      <c r="A23" s="11" t="s">
        <v>71</v>
      </c>
      <c r="B23" s="30" t="s">
        <v>206</v>
      </c>
      <c r="C23" s="18" cm="1">
        <f t="array" ref="C23">SQRT(C26*C4*SQRT(C25^2-1))</f>
        <v>14.810748414335091</v>
      </c>
      <c r="D23" s="4" t="s">
        <v>15</v>
      </c>
      <c r="E23" s="2" t="s">
        <v>72</v>
      </c>
      <c r="F23" s="2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ht="14.85" customHeight="1" x14ac:dyDescent="0.3">
      <c r="A24" s="11" t="s">
        <v>73</v>
      </c>
      <c r="B24" s="30" t="s">
        <v>206</v>
      </c>
      <c r="C24" s="18" cm="1">
        <f t="array" ref="C24">C19*SQRT(C25)</f>
        <v>12.859821149611683</v>
      </c>
      <c r="D24" s="4" t="s">
        <v>15</v>
      </c>
      <c r="E24" s="2" t="s">
        <v>74</v>
      </c>
      <c r="F24" s="2"/>
      <c r="G24" s="2" t="s">
        <v>75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ht="14.85" customHeight="1" x14ac:dyDescent="0.3">
      <c r="A25" s="11" t="s">
        <v>76</v>
      </c>
      <c r="B25" s="30" t="s">
        <v>206</v>
      </c>
      <c r="C25" s="16">
        <v>1.5</v>
      </c>
      <c r="D25" s="4" t="s">
        <v>18</v>
      </c>
      <c r="E25" s="2" t="s">
        <v>77</v>
      </c>
      <c r="F25" s="2"/>
      <c r="G25" s="2" t="s">
        <v>78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ht="14.85" customHeight="1" x14ac:dyDescent="0.3">
      <c r="A26" s="11" t="s">
        <v>79</v>
      </c>
      <c r="B26" s="30" t="s">
        <v>206</v>
      </c>
      <c r="C26" s="16">
        <v>20</v>
      </c>
      <c r="D26" s="4" t="s">
        <v>80</v>
      </c>
      <c r="E26" s="2" t="s">
        <v>81</v>
      </c>
      <c r="F26" s="2"/>
      <c r="G26" s="2" t="s">
        <v>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19" ht="14.85" customHeight="1" x14ac:dyDescent="0.3">
      <c r="A27" s="11" t="s">
        <v>82</v>
      </c>
      <c r="B27" s="30" t="s">
        <v>206</v>
      </c>
      <c r="C27" s="18" cm="1">
        <f t="array" ref="C27">DEGREES(ACOS(1/C25))</f>
        <v>48.189685104221404</v>
      </c>
      <c r="D27" s="4" t="s">
        <v>83</v>
      </c>
      <c r="E27" s="2" t="s">
        <v>84</v>
      </c>
      <c r="F27" s="2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</row>
    <row r="28" spans="1:19" ht="14.85" customHeight="1" x14ac:dyDescent="0.3">
      <c r="A28" s="11" t="s">
        <v>85</v>
      </c>
      <c r="B28" s="30" t="s">
        <v>206</v>
      </c>
      <c r="C28" s="16">
        <v>0.75</v>
      </c>
      <c r="D28" s="4" t="s">
        <v>18</v>
      </c>
      <c r="E28" s="2" t="s">
        <v>86</v>
      </c>
      <c r="F28" s="2"/>
      <c r="G28" s="2" t="s">
        <v>87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19" ht="14.85" customHeight="1" x14ac:dyDescent="0.3">
      <c r="A29" s="11" t="s">
        <v>88</v>
      </c>
      <c r="B29" s="30" t="s">
        <v>207</v>
      </c>
      <c r="C29" s="16">
        <v>0.75</v>
      </c>
      <c r="D29" s="4" t="s">
        <v>18</v>
      </c>
      <c r="E29" s="2" t="s">
        <v>89</v>
      </c>
      <c r="F29" s="2"/>
      <c r="G29" s="2" t="s">
        <v>90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</row>
    <row r="30" spans="1:19" ht="14.85" customHeight="1" x14ac:dyDescent="0.3">
      <c r="A30" s="11" t="s">
        <v>91</v>
      </c>
      <c r="B30" s="30" t="s">
        <v>207</v>
      </c>
      <c r="C30" s="16">
        <v>0.45</v>
      </c>
      <c r="D30" s="4" t="s">
        <v>18</v>
      </c>
      <c r="E30" s="2" t="s">
        <v>92</v>
      </c>
      <c r="F30" s="2"/>
      <c r="G30" s="2" t="s">
        <v>90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19" ht="14.85" customHeight="1" x14ac:dyDescent="0.3">
      <c r="A31" s="11" t="s">
        <v>93</v>
      </c>
      <c r="B31" s="30" t="s">
        <v>206</v>
      </c>
      <c r="C31" s="16">
        <v>30</v>
      </c>
      <c r="D31" s="4" t="s">
        <v>80</v>
      </c>
      <c r="E31" s="2" t="s">
        <v>94</v>
      </c>
      <c r="F31" s="2"/>
      <c r="G31" s="2" t="s">
        <v>95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</row>
    <row r="32" spans="1:19" ht="14.85" customHeight="1" x14ac:dyDescent="0.3">
      <c r="A32" s="11" t="s">
        <v>96</v>
      </c>
      <c r="B32" s="30" t="s">
        <v>206</v>
      </c>
      <c r="C32" s="16">
        <v>100</v>
      </c>
      <c r="D32" s="4" t="s">
        <v>80</v>
      </c>
      <c r="E32" s="2" t="s">
        <v>97</v>
      </c>
      <c r="F32" s="2"/>
      <c r="G32" s="2" t="s">
        <v>98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 spans="1:19" ht="14.85" customHeight="1" x14ac:dyDescent="0.3">
      <c r="A33" s="11" t="s">
        <v>99</v>
      </c>
      <c r="B33" s="30" t="s">
        <v>206</v>
      </c>
      <c r="C33" s="18" cm="1">
        <f t="array" ref="C33">DEGREES(ATAN(30/100))</f>
        <v>16.699244233993621</v>
      </c>
      <c r="D33" s="4" t="s">
        <v>83</v>
      </c>
      <c r="E33" s="2" t="s">
        <v>100</v>
      </c>
      <c r="F33" s="2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 spans="1:19" ht="14.85" customHeight="1" x14ac:dyDescent="0.3">
      <c r="A34" s="11" t="s">
        <v>101</v>
      </c>
      <c r="B34" s="30" t="s">
        <v>206</v>
      </c>
      <c r="C34" s="18">
        <v>25</v>
      </c>
      <c r="D34" s="4" t="s">
        <v>80</v>
      </c>
      <c r="E34" s="2" t="s">
        <v>102</v>
      </c>
      <c r="F34" s="2"/>
      <c r="G34" s="2" t="s">
        <v>103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</row>
    <row r="35" spans="1:19" ht="14.85" customHeight="1" x14ac:dyDescent="0.3">
      <c r="A35" s="11" t="s">
        <v>104</v>
      </c>
      <c r="B35" s="30" t="s">
        <v>206</v>
      </c>
      <c r="C35" s="16">
        <v>95</v>
      </c>
      <c r="D35" s="4" t="s">
        <v>105</v>
      </c>
      <c r="E35" s="2" t="s">
        <v>106</v>
      </c>
      <c r="F35" s="2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ht="14.85" customHeight="1" x14ac:dyDescent="0.3">
      <c r="A36" s="11" t="s">
        <v>107</v>
      </c>
      <c r="B36" s="30" t="s">
        <v>206</v>
      </c>
      <c r="C36" s="16">
        <v>7.0000000000000007E-2</v>
      </c>
      <c r="D36" s="4" t="s">
        <v>108</v>
      </c>
      <c r="E36" s="2" t="s">
        <v>109</v>
      </c>
      <c r="F36" s="2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ht="14.85" customHeight="1" x14ac:dyDescent="0.3">
      <c r="A37" s="11" t="s">
        <v>110</v>
      </c>
      <c r="B37" s="30" t="s">
        <v>206</v>
      </c>
      <c r="C37" s="16">
        <v>0.8</v>
      </c>
      <c r="D37" s="4" t="s">
        <v>18</v>
      </c>
      <c r="E37" s="2" t="s">
        <v>111</v>
      </c>
      <c r="F37" s="2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ht="14.85" customHeight="1" x14ac:dyDescent="0.3">
      <c r="A38" s="11" t="s">
        <v>112</v>
      </c>
      <c r="B38" s="30" t="s">
        <v>206</v>
      </c>
      <c r="C38" s="21">
        <v>4.3939000000000004</v>
      </c>
      <c r="D38" s="2" t="s">
        <v>113</v>
      </c>
      <c r="E38" s="2" t="s">
        <v>114</v>
      </c>
      <c r="F38" s="2"/>
      <c r="G38" s="2" t="s">
        <v>115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ht="14.85" customHeight="1" x14ac:dyDescent="0.3">
      <c r="A39" s="11" t="s">
        <v>116</v>
      </c>
      <c r="B39" s="30" t="s">
        <v>206</v>
      </c>
      <c r="C39" s="22" cm="1">
        <f t="array" ref="C39">C4*C38</f>
        <v>43.104159000000003</v>
      </c>
      <c r="D39" s="2" t="s">
        <v>117</v>
      </c>
      <c r="E39" s="2" t="s">
        <v>118</v>
      </c>
      <c r="F39" s="2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ht="14.85" customHeight="1" x14ac:dyDescent="0.3">
      <c r="A40" s="11" t="s">
        <v>119</v>
      </c>
      <c r="B40" s="30" t="s">
        <v>205</v>
      </c>
      <c r="C40" s="23">
        <f>C39/C35</f>
        <v>0.45372798947368426</v>
      </c>
      <c r="D40" s="2" t="s">
        <v>120</v>
      </c>
      <c r="E40" s="2" t="s">
        <v>121</v>
      </c>
      <c r="F40" s="2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ht="14.85" customHeight="1" x14ac:dyDescent="0.3">
      <c r="A41" s="12" t="s">
        <v>142</v>
      </c>
      <c r="B41" s="30" t="s">
        <v>204</v>
      </c>
      <c r="C41" s="24">
        <v>-0.08</v>
      </c>
      <c r="D41" s="2" t="s">
        <v>18</v>
      </c>
      <c r="E41" s="2" t="s">
        <v>122</v>
      </c>
      <c r="F41" s="2"/>
      <c r="G41" s="2" t="s">
        <v>123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  <row r="42" spans="1:19" ht="14.85" customHeight="1" x14ac:dyDescent="0.3">
      <c r="A42" s="12" t="s">
        <v>180</v>
      </c>
      <c r="B42" s="30" t="s">
        <v>205</v>
      </c>
      <c r="C42" s="25">
        <f>C40/(C54-C55)</f>
        <v>0.31399860863230744</v>
      </c>
      <c r="D42" s="3"/>
      <c r="E42" s="2" t="s">
        <v>124</v>
      </c>
      <c r="F42" s="2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</row>
    <row r="43" spans="1:19" ht="14.85" customHeight="1" x14ac:dyDescent="0.3">
      <c r="A43" s="11" t="s">
        <v>125</v>
      </c>
      <c r="B43" s="30" t="s">
        <v>205</v>
      </c>
      <c r="C43" s="26">
        <v>0.25</v>
      </c>
      <c r="D43" s="3"/>
      <c r="E43" s="2" t="s">
        <v>126</v>
      </c>
      <c r="F43" s="2"/>
      <c r="G43" s="5" t="s">
        <v>188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</row>
    <row r="44" spans="1:19" ht="14.85" customHeight="1" x14ac:dyDescent="0.3">
      <c r="A44" s="12" t="s">
        <v>127</v>
      </c>
      <c r="B44" s="30" t="s">
        <v>205</v>
      </c>
      <c r="C44" s="26">
        <v>0.7</v>
      </c>
      <c r="D44" s="2" t="s">
        <v>128</v>
      </c>
      <c r="E44" s="2" t="s">
        <v>129</v>
      </c>
      <c r="F44" s="2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</row>
    <row r="45" spans="1:19" ht="14.85" customHeight="1" x14ac:dyDescent="0.3">
      <c r="A45" s="12" t="s">
        <v>189</v>
      </c>
      <c r="B45" s="30" t="s">
        <v>205</v>
      </c>
      <c r="C45" s="26">
        <v>0.23</v>
      </c>
      <c r="D45" s="5" t="s">
        <v>18</v>
      </c>
      <c r="E45" s="5" t="s">
        <v>190</v>
      </c>
      <c r="F45" s="2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</row>
    <row r="46" spans="1:19" ht="14.85" customHeight="1" x14ac:dyDescent="0.3">
      <c r="A46" s="11" t="s">
        <v>130</v>
      </c>
      <c r="B46" s="30" t="s">
        <v>205</v>
      </c>
      <c r="C46" s="26">
        <v>0.3</v>
      </c>
      <c r="D46" s="2" t="s">
        <v>18</v>
      </c>
      <c r="E46" s="2" t="s">
        <v>131</v>
      </c>
      <c r="F46" s="2"/>
      <c r="G46" s="2" t="s">
        <v>132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</row>
    <row r="47" spans="1:19" ht="14.85" customHeight="1" x14ac:dyDescent="0.3">
      <c r="A47" s="11" t="s">
        <v>133</v>
      </c>
      <c r="B47" s="30" t="s">
        <v>204</v>
      </c>
      <c r="C47" s="26">
        <v>0.43</v>
      </c>
      <c r="D47" s="2" t="s">
        <v>18</v>
      </c>
      <c r="E47" s="2" t="s">
        <v>134</v>
      </c>
      <c r="F47" s="2"/>
      <c r="G47" s="2" t="s">
        <v>123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</row>
    <row r="48" spans="1:19" ht="14.85" customHeight="1" x14ac:dyDescent="0.3">
      <c r="A48" s="12" t="s">
        <v>158</v>
      </c>
      <c r="B48" s="30" t="s">
        <v>205</v>
      </c>
      <c r="C48" s="26">
        <v>0.19600000000000001</v>
      </c>
      <c r="D48" s="2" t="s">
        <v>80</v>
      </c>
      <c r="E48" s="2" t="s">
        <v>135</v>
      </c>
      <c r="F48" s="2"/>
      <c r="G48" s="2" t="s">
        <v>136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</row>
    <row r="49" spans="1:19" ht="14.85" customHeight="1" x14ac:dyDescent="0.3">
      <c r="A49" s="12" t="s">
        <v>157</v>
      </c>
      <c r="B49" s="30" t="s">
        <v>205</v>
      </c>
      <c r="C49" s="26">
        <v>0.53900000000000003</v>
      </c>
      <c r="D49" s="5" t="s">
        <v>80</v>
      </c>
      <c r="E49" s="2"/>
      <c r="F49" s="2"/>
      <c r="G49" s="2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</row>
    <row r="50" spans="1:19" ht="14.85" customHeight="1" x14ac:dyDescent="0.3">
      <c r="A50" s="12" t="s">
        <v>164</v>
      </c>
      <c r="B50" s="30" t="s">
        <v>205</v>
      </c>
      <c r="C50" s="27">
        <f>C49/C48</f>
        <v>2.75</v>
      </c>
      <c r="D50" s="2" t="s">
        <v>18</v>
      </c>
      <c r="E50" s="2" t="s">
        <v>137</v>
      </c>
      <c r="F50" s="2"/>
      <c r="G50" s="2" t="s">
        <v>138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</row>
    <row r="51" spans="1:19" ht="14.85" customHeight="1" x14ac:dyDescent="0.3">
      <c r="A51" s="13" t="s">
        <v>139</v>
      </c>
      <c r="B51" s="30" t="s">
        <v>204</v>
      </c>
      <c r="C51" s="27">
        <v>0.65</v>
      </c>
      <c r="D51" s="6" t="s">
        <v>18</v>
      </c>
      <c r="E51" s="6" t="s">
        <v>140</v>
      </c>
      <c r="F51" s="6" t="s">
        <v>191</v>
      </c>
      <c r="G51" s="5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</row>
    <row r="52" spans="1:19" ht="14.85" customHeight="1" x14ac:dyDescent="0.3">
      <c r="A52" s="13" t="s">
        <v>186</v>
      </c>
      <c r="B52" s="30" t="s">
        <v>204</v>
      </c>
      <c r="C52" s="27">
        <f>1/(PI()*C51*C50)</f>
        <v>0.17807546080212067</v>
      </c>
      <c r="D52" s="6" t="s">
        <v>18</v>
      </c>
      <c r="E52" s="6" t="s">
        <v>187</v>
      </c>
      <c r="F52" s="6"/>
      <c r="G52" s="5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</row>
    <row r="53" spans="1:19" ht="14.85" customHeight="1" x14ac:dyDescent="0.3">
      <c r="A53" s="14" t="s">
        <v>143</v>
      </c>
      <c r="B53" s="30" t="s">
        <v>205</v>
      </c>
      <c r="C53" s="28">
        <v>0.15</v>
      </c>
      <c r="D53" s="8" t="s">
        <v>18</v>
      </c>
      <c r="E53" s="3" t="s">
        <v>144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</row>
    <row r="54" spans="1:19" ht="14.85" customHeight="1" x14ac:dyDescent="0.3">
      <c r="A54" s="13" t="s">
        <v>147</v>
      </c>
      <c r="B54" s="30" t="s">
        <v>205</v>
      </c>
      <c r="C54" s="28">
        <v>1.5</v>
      </c>
      <c r="D54" s="3" t="s">
        <v>80</v>
      </c>
      <c r="E54" s="3" t="s">
        <v>145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</row>
    <row r="55" spans="1:19" ht="14.85" customHeight="1" x14ac:dyDescent="0.3">
      <c r="A55" s="13" t="s">
        <v>149</v>
      </c>
      <c r="B55" s="30" t="s">
        <v>205</v>
      </c>
      <c r="C55" s="28">
        <v>5.5E-2</v>
      </c>
      <c r="D55" s="3" t="s">
        <v>80</v>
      </c>
      <c r="E55" s="6" t="s">
        <v>150</v>
      </c>
      <c r="F55" s="6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</row>
    <row r="56" spans="1:19" ht="14.85" customHeight="1" x14ac:dyDescent="0.3">
      <c r="A56" s="13" t="s">
        <v>148</v>
      </c>
      <c r="B56" s="30" t="s">
        <v>205</v>
      </c>
      <c r="C56" s="28">
        <v>1</v>
      </c>
      <c r="D56" s="6" t="s">
        <v>80</v>
      </c>
      <c r="E56" s="6" t="s">
        <v>152</v>
      </c>
      <c r="F56" s="6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</row>
    <row r="57" spans="1:19" ht="14.85" customHeight="1" x14ac:dyDescent="0.3">
      <c r="A57" s="13" t="s">
        <v>151</v>
      </c>
      <c r="B57" s="30" t="s">
        <v>205</v>
      </c>
      <c r="C57" s="28">
        <v>0.24299999999999999</v>
      </c>
      <c r="D57" s="6" t="s">
        <v>120</v>
      </c>
      <c r="E57" s="6" t="s">
        <v>153</v>
      </c>
      <c r="F57" s="6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</row>
    <row r="58" spans="1:19" ht="14.85" customHeight="1" x14ac:dyDescent="0.3">
      <c r="A58" s="13" t="s">
        <v>160</v>
      </c>
      <c r="B58" s="30" t="s">
        <v>205</v>
      </c>
      <c r="C58" s="28">
        <v>0.14000000000000001</v>
      </c>
      <c r="D58" s="6" t="s">
        <v>18</v>
      </c>
      <c r="E58" s="6" t="s">
        <v>154</v>
      </c>
      <c r="F58" s="6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</row>
    <row r="59" spans="1:19" ht="14.85" customHeight="1" x14ac:dyDescent="0.3">
      <c r="A59" s="13" t="s">
        <v>155</v>
      </c>
      <c r="B59" s="30" t="s">
        <v>205</v>
      </c>
      <c r="C59" s="28">
        <v>0.255</v>
      </c>
      <c r="D59" s="6" t="s">
        <v>18</v>
      </c>
      <c r="E59" s="6" t="s">
        <v>156</v>
      </c>
      <c r="F59" s="6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</row>
    <row r="60" spans="1:19" ht="14.85" customHeight="1" x14ac:dyDescent="0.3">
      <c r="A60" s="13" t="s">
        <v>159</v>
      </c>
      <c r="B60" s="30" t="s">
        <v>205</v>
      </c>
      <c r="C60" s="28">
        <v>0.1</v>
      </c>
      <c r="D60" s="6" t="s">
        <v>18</v>
      </c>
      <c r="E60" s="6" t="s">
        <v>200</v>
      </c>
      <c r="F60" s="6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</row>
    <row r="61" spans="1:19" ht="14.85" customHeight="1" x14ac:dyDescent="0.3">
      <c r="A61" s="13" t="s">
        <v>161</v>
      </c>
      <c r="B61" s="30" t="s">
        <v>205</v>
      </c>
      <c r="C61" s="28">
        <v>0.3</v>
      </c>
      <c r="D61" s="6" t="s">
        <v>18</v>
      </c>
      <c r="E61" s="6" t="s">
        <v>201</v>
      </c>
      <c r="F61" s="6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</row>
    <row r="62" spans="1:19" ht="14.85" customHeight="1" x14ac:dyDescent="0.3">
      <c r="A62" s="13" t="s">
        <v>162</v>
      </c>
      <c r="B62" s="30" t="s">
        <v>205</v>
      </c>
      <c r="C62" s="28">
        <v>0.19600000000000001</v>
      </c>
      <c r="D62" s="6" t="s">
        <v>80</v>
      </c>
      <c r="E62" s="3" t="s">
        <v>275</v>
      </c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</row>
    <row r="63" spans="1:19" ht="14.85" customHeight="1" x14ac:dyDescent="0.3">
      <c r="A63" s="13" t="s">
        <v>163</v>
      </c>
      <c r="B63" s="30" t="s">
        <v>205</v>
      </c>
      <c r="C63" s="28">
        <v>0.24299999999999999</v>
      </c>
      <c r="D63" s="6" t="s">
        <v>80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</row>
    <row r="64" spans="1:19" ht="14.85" customHeight="1" x14ac:dyDescent="0.3">
      <c r="A64" s="13" t="s">
        <v>165</v>
      </c>
      <c r="B64" s="30" t="s">
        <v>205</v>
      </c>
      <c r="C64" s="27">
        <f>C63/C62</f>
        <v>1.2397959183673468</v>
      </c>
      <c r="D64" s="6" t="s">
        <v>18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</row>
    <row r="65" spans="1:19" ht="14.85" customHeight="1" x14ac:dyDescent="0.3">
      <c r="A65" s="13" t="s">
        <v>181</v>
      </c>
      <c r="B65" s="30" t="s">
        <v>205</v>
      </c>
      <c r="C65" s="28">
        <v>0.1</v>
      </c>
      <c r="D65" s="6" t="s">
        <v>18</v>
      </c>
      <c r="E65" s="6" t="s">
        <v>200</v>
      </c>
      <c r="F65" s="6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</row>
    <row r="66" spans="1:19" ht="14.85" customHeight="1" x14ac:dyDescent="0.3">
      <c r="A66" s="13" t="s">
        <v>182</v>
      </c>
      <c r="B66" s="30" t="s">
        <v>205</v>
      </c>
      <c r="C66" s="28">
        <v>0.3</v>
      </c>
      <c r="D66" s="6" t="s">
        <v>18</v>
      </c>
      <c r="E66" s="6" t="s">
        <v>201</v>
      </c>
      <c r="F66" s="6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</row>
    <row r="67" spans="1:19" ht="14.85" customHeight="1" x14ac:dyDescent="0.3">
      <c r="A67" s="13" t="s">
        <v>166</v>
      </c>
      <c r="B67" s="30" t="s">
        <v>205</v>
      </c>
      <c r="C67" s="28">
        <v>0.05</v>
      </c>
      <c r="D67" s="6" t="s">
        <v>80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</row>
    <row r="68" spans="1:19" ht="14.85" customHeight="1" x14ac:dyDescent="0.3">
      <c r="A68" s="13" t="s">
        <v>167</v>
      </c>
      <c r="B68" s="30" t="s">
        <v>205</v>
      </c>
      <c r="C68" s="28">
        <v>1.4999999999999999E-2</v>
      </c>
      <c r="D68" s="6" t="s">
        <v>80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</row>
    <row r="69" spans="1:19" ht="14.85" customHeight="1" x14ac:dyDescent="0.3">
      <c r="A69" s="13" t="s">
        <v>168</v>
      </c>
      <c r="B69" s="30" t="s">
        <v>205</v>
      </c>
      <c r="C69" s="28">
        <v>0.155</v>
      </c>
      <c r="D69" s="6" t="s">
        <v>80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</row>
    <row r="70" spans="1:19" ht="14.85" customHeight="1" x14ac:dyDescent="0.3">
      <c r="A70" s="13" t="s">
        <v>169</v>
      </c>
      <c r="B70" s="30" t="s">
        <v>205</v>
      </c>
      <c r="C70" s="28">
        <v>1.6E-2</v>
      </c>
      <c r="D70" s="6" t="s">
        <v>80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</row>
    <row r="71" spans="1:19" ht="14.85" customHeight="1" x14ac:dyDescent="0.3">
      <c r="A71" s="13" t="s">
        <v>170</v>
      </c>
      <c r="B71" s="30" t="s">
        <v>205</v>
      </c>
      <c r="C71" s="28">
        <v>0.05</v>
      </c>
      <c r="D71" s="6" t="s">
        <v>80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</row>
    <row r="72" spans="1:19" ht="14.85" customHeight="1" x14ac:dyDescent="0.3">
      <c r="A72" s="13" t="s">
        <v>171</v>
      </c>
      <c r="B72" s="30" t="s">
        <v>205</v>
      </c>
      <c r="C72" s="28">
        <v>1.4999999999999999E-2</v>
      </c>
      <c r="D72" s="6" t="s">
        <v>80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</row>
    <row r="73" spans="1:19" ht="14.85" customHeight="1" x14ac:dyDescent="0.3">
      <c r="A73" s="13" t="s">
        <v>172</v>
      </c>
      <c r="B73" s="30" t="s">
        <v>205</v>
      </c>
      <c r="C73" s="28">
        <v>0.09</v>
      </c>
      <c r="D73" s="6" t="s">
        <v>80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</row>
    <row r="74" spans="1:19" ht="14.85" customHeight="1" x14ac:dyDescent="0.3">
      <c r="A74" s="13" t="s">
        <v>173</v>
      </c>
      <c r="B74" s="30" t="s">
        <v>205</v>
      </c>
      <c r="C74" s="28">
        <v>0.01</v>
      </c>
      <c r="D74" s="6" t="s">
        <v>80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</row>
    <row r="75" spans="1:19" ht="14.85" customHeight="1" x14ac:dyDescent="0.3">
      <c r="A75" s="13" t="s">
        <v>174</v>
      </c>
      <c r="B75" s="30" t="s">
        <v>204</v>
      </c>
      <c r="C75" s="28">
        <v>0.25</v>
      </c>
      <c r="D75" s="6" t="s">
        <v>18</v>
      </c>
      <c r="E75" s="6" t="s">
        <v>175</v>
      </c>
      <c r="F75" s="6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</row>
    <row r="76" spans="1:19" ht="14.85" customHeight="1" x14ac:dyDescent="0.3">
      <c r="A76" s="13" t="s">
        <v>176</v>
      </c>
      <c r="B76" s="30" t="s">
        <v>204</v>
      </c>
      <c r="C76" s="28">
        <v>0.3</v>
      </c>
      <c r="D76" s="6" t="s">
        <v>18</v>
      </c>
      <c r="E76" s="6" t="s">
        <v>177</v>
      </c>
      <c r="F76" s="6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</row>
    <row r="77" spans="1:19" ht="14.85" customHeight="1" x14ac:dyDescent="0.3">
      <c r="A77" s="13" t="s">
        <v>192</v>
      </c>
      <c r="B77" s="30" t="s">
        <v>204</v>
      </c>
      <c r="C77" s="28">
        <v>0.1</v>
      </c>
      <c r="D77" s="6" t="s">
        <v>18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</row>
    <row r="78" spans="1:19" ht="14.85" customHeight="1" x14ac:dyDescent="0.3">
      <c r="A78" s="14" t="s">
        <v>193</v>
      </c>
      <c r="B78" s="30" t="s">
        <v>205</v>
      </c>
      <c r="C78" s="28">
        <v>0.08</v>
      </c>
      <c r="D78" s="9" t="s">
        <v>194</v>
      </c>
      <c r="E78" s="3" t="s">
        <v>195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</row>
    <row r="79" spans="1:19" ht="14.85" customHeight="1" x14ac:dyDescent="0.3">
      <c r="A79" s="14" t="s">
        <v>196</v>
      </c>
      <c r="B79" s="30" t="s">
        <v>205</v>
      </c>
      <c r="C79" s="28">
        <v>0.1</v>
      </c>
      <c r="D79" s="9" t="s">
        <v>80</v>
      </c>
      <c r="E79" s="3" t="s">
        <v>198</v>
      </c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</row>
    <row r="80" spans="1:19" ht="14.85" customHeight="1" x14ac:dyDescent="0.3">
      <c r="A80" s="14" t="s">
        <v>197</v>
      </c>
      <c r="B80" s="30" t="s">
        <v>205</v>
      </c>
      <c r="C80" s="28">
        <v>0.04</v>
      </c>
      <c r="D80" s="9" t="s">
        <v>80</v>
      </c>
      <c r="E80" s="3" t="s">
        <v>199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</row>
    <row r="81" spans="1:19" ht="14.85" customHeight="1" x14ac:dyDescent="0.3">
      <c r="A81" s="14" t="s">
        <v>210</v>
      </c>
      <c r="B81" s="31" t="s">
        <v>204</v>
      </c>
      <c r="C81" s="28">
        <v>-0.08</v>
      </c>
      <c r="D81" s="9" t="s">
        <v>194</v>
      </c>
      <c r="E81" s="3" t="s">
        <v>211</v>
      </c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</row>
    <row r="82" spans="1:19" ht="14.85" customHeight="1" x14ac:dyDescent="0.3">
      <c r="A82" s="14" t="s">
        <v>212</v>
      </c>
      <c r="B82" s="31" t="s">
        <v>204</v>
      </c>
      <c r="C82" s="28">
        <v>15.8</v>
      </c>
      <c r="D82" s="3" t="s">
        <v>83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</row>
    <row r="83" spans="1:19" ht="14.85" customHeight="1" x14ac:dyDescent="0.3">
      <c r="A83" s="14" t="s">
        <v>213</v>
      </c>
      <c r="B83" s="31" t="s">
        <v>205</v>
      </c>
      <c r="C83" s="28">
        <v>2</v>
      </c>
      <c r="D83" s="9" t="s">
        <v>194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</row>
    <row r="84" spans="1:19" ht="14.85" customHeight="1" x14ac:dyDescent="0.3">
      <c r="A84" s="14" t="s">
        <v>214</v>
      </c>
      <c r="B84" s="31" t="s">
        <v>205</v>
      </c>
      <c r="C84" s="28">
        <v>1.07</v>
      </c>
      <c r="D84" s="9" t="s">
        <v>194</v>
      </c>
      <c r="E84" s="3" t="s">
        <v>215</v>
      </c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</row>
    <row r="85" spans="1:19" ht="14.85" customHeight="1" x14ac:dyDescent="0.3">
      <c r="A85" s="14" t="s">
        <v>216</v>
      </c>
      <c r="B85" s="31" t="s">
        <v>205</v>
      </c>
      <c r="C85" s="28">
        <v>0.3</v>
      </c>
      <c r="D85" s="9" t="s">
        <v>194</v>
      </c>
      <c r="E85" s="3" t="s">
        <v>217</v>
      </c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</row>
    <row r="86" spans="1:19" ht="14.85" customHeight="1" x14ac:dyDescent="0.3">
      <c r="A86" s="14" t="s">
        <v>218</v>
      </c>
      <c r="B86" s="31" t="s">
        <v>205</v>
      </c>
      <c r="C86" s="28">
        <v>20</v>
      </c>
      <c r="D86" s="3" t="s">
        <v>83</v>
      </c>
      <c r="E86" s="3" t="s">
        <v>219</v>
      </c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</row>
    <row r="87" spans="1:19" ht="14.85" customHeight="1" x14ac:dyDescent="0.3">
      <c r="A87" s="14" t="s">
        <v>220</v>
      </c>
      <c r="B87" s="31" t="s">
        <v>204</v>
      </c>
      <c r="C87" s="28">
        <v>0.2</v>
      </c>
      <c r="D87" s="9" t="s">
        <v>194</v>
      </c>
      <c r="E87" s="3" t="s">
        <v>221</v>
      </c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</row>
    <row r="88" spans="1:19" ht="14.85" customHeight="1" x14ac:dyDescent="0.3">
      <c r="A88" s="14" t="s">
        <v>222</v>
      </c>
      <c r="B88" s="32" t="s">
        <v>204</v>
      </c>
      <c r="C88" s="31">
        <v>120</v>
      </c>
      <c r="D88" s="28" t="s">
        <v>223</v>
      </c>
      <c r="E88" s="3" t="s">
        <v>224</v>
      </c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</row>
    <row r="89" spans="1:19" ht="14.85" customHeight="1" x14ac:dyDescent="0.3">
      <c r="A89" s="13" t="s">
        <v>225</v>
      </c>
      <c r="B89" s="34" t="s">
        <v>205</v>
      </c>
      <c r="C89" s="28">
        <v>0.25</v>
      </c>
      <c r="D89" s="8" t="s">
        <v>194</v>
      </c>
      <c r="E89" s="6" t="s">
        <v>226</v>
      </c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</row>
    <row r="90" spans="1:19" ht="14.85" customHeight="1" x14ac:dyDescent="0.3">
      <c r="A90" s="13" t="s">
        <v>227</v>
      </c>
      <c r="B90" s="34" t="s">
        <v>205</v>
      </c>
      <c r="C90" s="28">
        <v>0.7</v>
      </c>
      <c r="D90" s="8" t="s">
        <v>194</v>
      </c>
      <c r="E90" s="49" t="s">
        <v>229</v>
      </c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</row>
    <row r="91" spans="1:19" ht="14.85" customHeight="1" x14ac:dyDescent="0.3">
      <c r="A91" s="13" t="s">
        <v>228</v>
      </c>
      <c r="B91" s="34" t="s">
        <v>205</v>
      </c>
      <c r="C91" s="28">
        <v>1</v>
      </c>
      <c r="D91" s="8" t="s">
        <v>194</v>
      </c>
      <c r="E91" s="50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</row>
    <row r="92" spans="1:19" ht="14.85" customHeight="1" x14ac:dyDescent="0.3">
      <c r="A92" s="14" t="s">
        <v>230</v>
      </c>
      <c r="B92" s="31" t="s">
        <v>205</v>
      </c>
      <c r="C92" s="28">
        <v>15</v>
      </c>
      <c r="D92" s="35" t="s">
        <v>83</v>
      </c>
      <c r="E92" s="3" t="s">
        <v>231</v>
      </c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</row>
    <row r="93" spans="1:19" ht="14.85" customHeight="1" x14ac:dyDescent="0.3">
      <c r="A93" s="14" t="s">
        <v>232</v>
      </c>
      <c r="B93" s="31" t="s">
        <v>205</v>
      </c>
      <c r="C93" s="28">
        <v>4</v>
      </c>
      <c r="D93" s="3" t="s">
        <v>83</v>
      </c>
      <c r="E93" s="3" t="s">
        <v>233</v>
      </c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</row>
    <row r="94" spans="1:19" ht="14.85" customHeight="1" x14ac:dyDescent="0.3">
      <c r="A94" s="14"/>
      <c r="B94" s="31"/>
      <c r="C94" s="28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</row>
    <row r="95" spans="1:19" ht="14.85" customHeight="1" x14ac:dyDescent="0.3">
      <c r="A95" s="14"/>
      <c r="B95" s="31"/>
      <c r="C95" s="28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</row>
    <row r="96" spans="1:19" ht="14.85" customHeight="1" x14ac:dyDescent="0.3">
      <c r="A96" s="14"/>
      <c r="B96" s="31"/>
      <c r="C96" s="28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</row>
    <row r="97" spans="1:19" ht="14.85" customHeight="1" x14ac:dyDescent="0.3">
      <c r="A97" s="14"/>
      <c r="B97" s="31"/>
      <c r="C97" s="28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</row>
    <row r="98" spans="1:19" ht="14.85" customHeight="1" x14ac:dyDescent="0.3">
      <c r="A98" s="14"/>
      <c r="B98" s="31"/>
      <c r="C98" s="28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</row>
    <row r="99" spans="1:19" ht="14.85" customHeight="1" x14ac:dyDescent="0.3">
      <c r="A99" s="14"/>
      <c r="B99" s="31"/>
      <c r="C99" s="28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</row>
    <row r="100" spans="1:19" ht="14.85" customHeight="1" x14ac:dyDescent="0.3">
      <c r="A100" s="14"/>
      <c r="B100" s="31"/>
      <c r="C100" s="28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</row>
    <row r="101" spans="1:19" ht="14.85" customHeight="1" x14ac:dyDescent="0.3">
      <c r="A101" s="14"/>
      <c r="B101" s="31"/>
      <c r="C101" s="28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</row>
    <row r="102" spans="1:19" ht="14.85" customHeight="1" x14ac:dyDescent="0.3">
      <c r="A102" s="14"/>
      <c r="B102" s="31"/>
      <c r="C102" s="28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</row>
    <row r="103" spans="1:19" ht="14.85" customHeight="1" x14ac:dyDescent="0.3">
      <c r="A103" s="14"/>
      <c r="B103" s="31"/>
      <c r="C103" s="28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</row>
    <row r="104" spans="1:19" ht="14.85" customHeight="1" x14ac:dyDescent="0.3">
      <c r="A104" s="14"/>
      <c r="B104" s="31"/>
      <c r="C104" s="28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</row>
    <row r="105" spans="1:19" ht="14.85" customHeight="1" x14ac:dyDescent="0.3">
      <c r="A105" s="14"/>
      <c r="B105" s="31"/>
      <c r="C105" s="28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</row>
    <row r="106" spans="1:19" ht="14.85" customHeight="1" x14ac:dyDescent="0.3">
      <c r="A106" s="14"/>
      <c r="B106" s="31"/>
      <c r="C106" s="28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</row>
    <row r="107" spans="1:19" ht="14.85" customHeight="1" x14ac:dyDescent="0.3">
      <c r="A107" s="14"/>
      <c r="B107" s="31"/>
      <c r="C107" s="28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</row>
    <row r="108" spans="1:19" ht="14.85" customHeight="1" x14ac:dyDescent="0.3">
      <c r="A108" s="14"/>
      <c r="B108" s="31"/>
      <c r="C108" s="28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</row>
    <row r="109" spans="1:19" ht="14.85" customHeight="1" x14ac:dyDescent="0.3">
      <c r="A109" s="14"/>
      <c r="B109" s="31"/>
      <c r="C109" s="2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</row>
    <row r="110" spans="1:19" ht="14.85" customHeight="1" x14ac:dyDescent="0.3">
      <c r="A110" s="14"/>
      <c r="B110" s="31"/>
      <c r="C110" s="2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</row>
    <row r="111" spans="1:19" ht="14.85" customHeight="1" x14ac:dyDescent="0.3">
      <c r="A111" s="14"/>
      <c r="B111" s="31"/>
      <c r="C111" s="2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</row>
    <row r="112" spans="1:19" ht="14.85" customHeight="1" x14ac:dyDescent="0.3">
      <c r="A112" s="14"/>
      <c r="B112" s="31"/>
      <c r="C112" s="2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</row>
    <row r="113" spans="1:19" ht="14.85" customHeight="1" x14ac:dyDescent="0.3">
      <c r="A113" s="14"/>
      <c r="B113" s="31"/>
      <c r="C113" s="28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</row>
    <row r="114" spans="1:19" ht="14.85" customHeight="1" x14ac:dyDescent="0.3">
      <c r="A114" s="14"/>
      <c r="B114" s="31"/>
      <c r="C114" s="28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</row>
    <row r="115" spans="1:19" ht="14.85" customHeight="1" x14ac:dyDescent="0.3">
      <c r="A115" s="14"/>
      <c r="B115" s="31"/>
      <c r="C115" s="28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</row>
    <row r="116" spans="1:19" ht="14.85" customHeight="1" x14ac:dyDescent="0.3">
      <c r="A116" s="14"/>
      <c r="B116" s="31"/>
      <c r="C116" s="28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</row>
    <row r="117" spans="1:19" ht="14.85" customHeight="1" x14ac:dyDescent="0.3">
      <c r="A117" s="14"/>
      <c r="B117" s="31"/>
      <c r="C117" s="28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</row>
    <row r="118" spans="1:19" ht="14.85" customHeight="1" x14ac:dyDescent="0.3">
      <c r="A118" s="14"/>
      <c r="B118" s="31"/>
      <c r="C118" s="28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</row>
    <row r="119" spans="1:19" ht="14.85" customHeight="1" x14ac:dyDescent="0.3">
      <c r="A119" s="14"/>
      <c r="B119" s="31"/>
      <c r="C119" s="28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</row>
    <row r="120" spans="1:19" ht="14.85" customHeight="1" x14ac:dyDescent="0.3">
      <c r="A120" s="14"/>
      <c r="B120" s="31"/>
      <c r="C120" s="28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</row>
    <row r="121" spans="1:19" ht="14.85" customHeight="1" x14ac:dyDescent="0.3">
      <c r="A121" s="14"/>
      <c r="B121" s="31"/>
      <c r="C121" s="28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</row>
    <row r="122" spans="1:19" ht="14.85" customHeight="1" x14ac:dyDescent="0.3">
      <c r="A122" s="14"/>
      <c r="B122" s="31"/>
      <c r="C122" s="28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</row>
    <row r="123" spans="1:19" ht="14.85" customHeight="1" x14ac:dyDescent="0.3">
      <c r="A123" s="14"/>
      <c r="B123" s="31"/>
      <c r="C123" s="28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</row>
    <row r="124" spans="1:19" ht="14.85" customHeight="1" x14ac:dyDescent="0.3">
      <c r="A124" s="14"/>
      <c r="B124" s="31"/>
      <c r="C124" s="28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</row>
    <row r="125" spans="1:19" ht="14.85" customHeight="1" x14ac:dyDescent="0.3">
      <c r="A125" s="14"/>
      <c r="B125" s="31"/>
      <c r="C125" s="28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</row>
    <row r="126" spans="1:19" ht="14.85" customHeight="1" x14ac:dyDescent="0.3">
      <c r="A126" s="14"/>
      <c r="B126" s="31"/>
      <c r="C126" s="28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</row>
    <row r="127" spans="1:19" ht="14.85" customHeight="1" x14ac:dyDescent="0.3">
      <c r="A127" s="14"/>
      <c r="B127" s="31"/>
      <c r="C127" s="28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</row>
    <row r="128" spans="1:19" ht="14.85" customHeight="1" x14ac:dyDescent="0.3">
      <c r="A128" s="14"/>
      <c r="B128" s="31"/>
      <c r="C128" s="28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</row>
    <row r="129" spans="1:19" ht="14.85" customHeight="1" x14ac:dyDescent="0.3">
      <c r="A129" s="14"/>
      <c r="B129" s="31"/>
      <c r="C129" s="28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</row>
    <row r="130" spans="1:19" ht="14.85" customHeight="1" x14ac:dyDescent="0.3">
      <c r="A130" s="14"/>
      <c r="B130" s="31"/>
      <c r="C130" s="28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</row>
    <row r="131" spans="1:19" ht="14.85" customHeight="1" x14ac:dyDescent="0.3">
      <c r="A131" s="14"/>
      <c r="B131" s="31"/>
      <c r="C131" s="28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</row>
    <row r="132" spans="1:19" ht="14.85" customHeight="1" x14ac:dyDescent="0.3">
      <c r="A132" s="14"/>
      <c r="B132" s="31"/>
      <c r="C132" s="28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</row>
  </sheetData>
  <mergeCells count="1">
    <mergeCell ref="E90:E91"/>
  </mergeCells>
  <pageMargins left="0.7" right="0.7" top="0.75" bottom="0.75" header="0.3" footer="0.3"/>
  <pageSetup orientation="portrait"/>
  <headerFooter>
    <oddFooter>&amp;C&amp;"Helvetica Neue,Regular"&amp;12&amp;K000000&amp;P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FA23C-5193-4068-BEB5-E93369C6617F}">
  <dimension ref="A1:F30"/>
  <sheetViews>
    <sheetView tabSelected="1" workbookViewId="0">
      <selection activeCell="D10" sqref="D10"/>
    </sheetView>
  </sheetViews>
  <sheetFormatPr defaultRowHeight="14.4" x14ac:dyDescent="0.3"/>
  <cols>
    <col min="1" max="1" width="48.109375" customWidth="1"/>
    <col min="2" max="4" width="15.77734375" customWidth="1"/>
    <col min="5" max="5" width="3.77734375" customWidth="1"/>
    <col min="6" max="6" width="46.77734375" customWidth="1"/>
  </cols>
  <sheetData>
    <row r="1" spans="1:6" ht="18" x14ac:dyDescent="0.35">
      <c r="A1" s="37" t="s">
        <v>273</v>
      </c>
    </row>
    <row r="2" spans="1:6" x14ac:dyDescent="0.3">
      <c r="A2" s="38" t="s">
        <v>274</v>
      </c>
    </row>
    <row r="4" spans="1:6" x14ac:dyDescent="0.3">
      <c r="A4" s="39" t="s">
        <v>234</v>
      </c>
      <c r="B4" s="39" t="s">
        <v>235</v>
      </c>
      <c r="C4" s="39" t="s">
        <v>236</v>
      </c>
      <c r="D4" s="39" t="s">
        <v>237</v>
      </c>
    </row>
    <row r="5" spans="1:6" x14ac:dyDescent="0.3">
      <c r="A5" t="s">
        <v>238</v>
      </c>
      <c r="B5" s="40">
        <f>INPUTS!C42</f>
        <v>0.31399860863230744</v>
      </c>
      <c r="C5" s="40">
        <f>INPUTS!C48</f>
        <v>0.19600000000000001</v>
      </c>
      <c r="D5" s="40">
        <f>INPUTS!C62</f>
        <v>0.19600000000000001</v>
      </c>
      <c r="F5" s="38" t="s">
        <v>264</v>
      </c>
    </row>
    <row r="6" spans="1:6" x14ac:dyDescent="0.3">
      <c r="A6" t="s">
        <v>239</v>
      </c>
      <c r="B6" s="41">
        <f>INPUTS!C89</f>
        <v>0.25</v>
      </c>
      <c r="C6" s="41">
        <f>INPUTS!C46</f>
        <v>0.3</v>
      </c>
      <c r="D6" s="41">
        <f>INPUTS!C85</f>
        <v>0.3</v>
      </c>
      <c r="F6" s="38" t="s">
        <v>265</v>
      </c>
    </row>
    <row r="7" spans="1:6" x14ac:dyDescent="0.3">
      <c r="A7" t="s">
        <v>240</v>
      </c>
      <c r="B7" s="40">
        <f>B6*B5</f>
        <v>7.849965215807686E-2</v>
      </c>
      <c r="C7" s="40">
        <f>C6*C5</f>
        <v>5.8799999999999998E-2</v>
      </c>
      <c r="D7" s="40">
        <f>D6*D5</f>
        <v>5.8799999999999998E-2</v>
      </c>
      <c r="F7" s="38" t="s">
        <v>266</v>
      </c>
    </row>
    <row r="8" spans="1:6" x14ac:dyDescent="0.3">
      <c r="A8" t="s">
        <v>241</v>
      </c>
      <c r="B8" s="40">
        <f>(INPUTS!C91-INPUTS!C90)*INPUTS!C54/2</f>
        <v>0.22500000000000003</v>
      </c>
      <c r="C8" s="40">
        <f>INPUTS!C49</f>
        <v>0.53900000000000003</v>
      </c>
      <c r="D8" s="40">
        <f>INPUTS!C63</f>
        <v>0.24299999999999999</v>
      </c>
      <c r="F8" s="38" t="s">
        <v>267</v>
      </c>
    </row>
    <row r="9" spans="1:6" x14ac:dyDescent="0.3">
      <c r="A9" t="s">
        <v>242</v>
      </c>
      <c r="B9" s="42">
        <f>INPUTS!C92</f>
        <v>15</v>
      </c>
      <c r="C9" s="47">
        <v>20</v>
      </c>
      <c r="D9" s="42">
        <f>INPUTS!C86</f>
        <v>20</v>
      </c>
      <c r="F9" s="38" t="s">
        <v>268</v>
      </c>
    </row>
    <row r="10" spans="1:6" x14ac:dyDescent="0.3">
      <c r="A10" t="s">
        <v>243</v>
      </c>
      <c r="B10" s="47">
        <v>0</v>
      </c>
      <c r="C10" s="47">
        <v>1</v>
      </c>
      <c r="D10" s="47">
        <v>0</v>
      </c>
      <c r="F10" s="38" t="s">
        <v>269</v>
      </c>
    </row>
    <row r="11" spans="1:6" x14ac:dyDescent="0.3">
      <c r="A11" t="s">
        <v>244</v>
      </c>
      <c r="B11" s="45">
        <f>INPUTS!C22</f>
        <v>23</v>
      </c>
      <c r="C11" s="45">
        <f>INPUTS!C22</f>
        <v>23</v>
      </c>
      <c r="D11" s="45">
        <f>INPUTS!C22</f>
        <v>23</v>
      </c>
      <c r="F11" s="38" t="s">
        <v>270</v>
      </c>
    </row>
    <row r="12" spans="1:6" x14ac:dyDescent="0.3">
      <c r="A12" t="s">
        <v>245</v>
      </c>
      <c r="B12" s="40">
        <f>INPUTS!C2</f>
        <v>1.2250000000000001</v>
      </c>
      <c r="C12" s="40">
        <f>INPUTS!C2</f>
        <v>1.2250000000000001</v>
      </c>
      <c r="D12" s="40">
        <f>INPUTS!C2</f>
        <v>1.2250000000000001</v>
      </c>
      <c r="F12" s="38" t="s">
        <v>271</v>
      </c>
    </row>
    <row r="13" spans="1:6" x14ac:dyDescent="0.3">
      <c r="A13" t="s">
        <v>246</v>
      </c>
      <c r="B13" s="47">
        <v>1</v>
      </c>
      <c r="C13" s="47">
        <v>1</v>
      </c>
      <c r="D13" s="47">
        <v>1</v>
      </c>
      <c r="F13" s="38" t="s">
        <v>272</v>
      </c>
    </row>
    <row r="14" spans="1:6" x14ac:dyDescent="0.3">
      <c r="A14" s="39" t="s">
        <v>247</v>
      </c>
      <c r="B14" s="39"/>
      <c r="C14" s="39"/>
      <c r="D14" s="39"/>
    </row>
    <row r="15" spans="1:6" x14ac:dyDescent="0.3">
      <c r="A15" t="s">
        <v>248</v>
      </c>
      <c r="B15" s="41">
        <f>ACOS(2*B6-1)</f>
        <v>2.0943951023931957</v>
      </c>
      <c r="C15" s="41">
        <f>ACOS(2*C6-1)</f>
        <v>1.9823131728623846</v>
      </c>
      <c r="D15" s="41">
        <f>ACOS(2*D6-1)</f>
        <v>1.9823131728623846</v>
      </c>
    </row>
    <row r="16" spans="1:6" x14ac:dyDescent="0.3">
      <c r="A16" t="s">
        <v>249</v>
      </c>
      <c r="B16" s="41">
        <f>PI()-B15</f>
        <v>1.0471975511965974</v>
      </c>
      <c r="C16" s="41">
        <f>PI()-C15</f>
        <v>1.1592794807274085</v>
      </c>
      <c r="D16" s="41">
        <f>PI()-D15</f>
        <v>1.1592794807274085</v>
      </c>
    </row>
    <row r="17" spans="1:4" x14ac:dyDescent="0.3">
      <c r="A17" t="s">
        <v>250</v>
      </c>
      <c r="B17" s="46">
        <f>-(B16*(COS(B15)-0.5)+SIN(B15)*(1-COS(B15)/2))/B6^2</f>
        <v>-0.56534725654320894</v>
      </c>
      <c r="C17" s="46">
        <f>-(C16*(COS(C15)-0.5)+SIN(C15)*(1-COS(C15)/2))/C6^2</f>
        <v>-0.62740704594148844</v>
      </c>
      <c r="D17" s="46">
        <f>-(D16*(COS(D15)-0.5)+SIN(D15)*(1-COS(D15)/2))/D6^2</f>
        <v>-0.62740704594148844</v>
      </c>
    </row>
    <row r="18" spans="1:4" x14ac:dyDescent="0.3">
      <c r="A18" t="s">
        <v>251</v>
      </c>
      <c r="B18" s="46">
        <f>-(B16^2*(COS(B15)-0.5)+B16*SIN(B15)+SIN(B15)^2/2)/(PI()*B6^2)</f>
        <v>-0.94360786423789478</v>
      </c>
      <c r="C18" s="46">
        <f>-(C16^2*(COS(C15)-0.5)+C16*SIN(C15)+SIN(C15)^2/2)/(PI()*C6^2)</f>
        <v>-0.96540266006846076</v>
      </c>
      <c r="D18" s="46">
        <f>-(D16^2*(COS(D15)-0.5)+D16*SIN(D15)+SIN(D15)^2/2)/(PI()*D6^2)</f>
        <v>-0.96540266006846076</v>
      </c>
    </row>
    <row r="19" spans="1:4" x14ac:dyDescent="0.3">
      <c r="A19" s="39" t="s">
        <v>252</v>
      </c>
      <c r="B19" s="39"/>
      <c r="C19" s="39"/>
      <c r="D19" s="39"/>
    </row>
    <row r="20" spans="1:4" x14ac:dyDescent="0.3">
      <c r="A20" t="s">
        <v>253</v>
      </c>
      <c r="B20" s="41">
        <f>RADIANS(B10)</f>
        <v>0</v>
      </c>
      <c r="C20" s="41">
        <f>RADIANS(C10)</f>
        <v>1.7453292519943295E-2</v>
      </c>
      <c r="D20" s="41">
        <f>RADIANS(D10)</f>
        <v>0</v>
      </c>
    </row>
    <row r="21" spans="1:4" x14ac:dyDescent="0.3">
      <c r="A21" t="s">
        <v>254</v>
      </c>
      <c r="B21" s="41">
        <f>RADIANS(B9)</f>
        <v>0.26179938779914941</v>
      </c>
      <c r="C21" s="41">
        <f>RADIANS(C9)</f>
        <v>0.3490658503988659</v>
      </c>
      <c r="D21" s="41">
        <f>RADIANS(D9)</f>
        <v>0.3490658503988659</v>
      </c>
    </row>
    <row r="22" spans="1:4" x14ac:dyDescent="0.3">
      <c r="A22" t="s">
        <v>255</v>
      </c>
      <c r="B22" s="46">
        <f>B17*B20+B18*B21</f>
        <v>-0.24703596117994375</v>
      </c>
      <c r="C22" s="46">
        <f>C17*C20+C18*C21</f>
        <v>-0.34793941921601479</v>
      </c>
      <c r="D22" s="46">
        <f>D17*D20+D18*D21</f>
        <v>-0.33698910051412451</v>
      </c>
    </row>
    <row r="23" spans="1:4" x14ac:dyDescent="0.3">
      <c r="A23" t="s">
        <v>256</v>
      </c>
      <c r="B23" s="40">
        <f>0.5*B12*B11^2</f>
        <v>324.01250000000005</v>
      </c>
      <c r="C23" s="40">
        <f>0.5*C12*C11^2</f>
        <v>324.01250000000005</v>
      </c>
      <c r="D23" s="40">
        <f>0.5*D12*D11^2</f>
        <v>324.01250000000005</v>
      </c>
    </row>
    <row r="24" spans="1:4" x14ac:dyDescent="0.3">
      <c r="A24" t="s">
        <v>257</v>
      </c>
      <c r="B24" s="40">
        <f>B7*B8</f>
        <v>1.7662421735567296E-2</v>
      </c>
      <c r="C24" s="40">
        <f>C7*C8</f>
        <v>3.1693199999999998E-2</v>
      </c>
      <c r="D24" s="40">
        <f>D7*D8</f>
        <v>1.42884E-2</v>
      </c>
    </row>
    <row r="25" spans="1:4" x14ac:dyDescent="0.3">
      <c r="A25" s="36" t="s">
        <v>258</v>
      </c>
      <c r="B25" s="48">
        <f>B22*B23*B24*B7</f>
        <v>-0.11097877488188827</v>
      </c>
      <c r="C25" s="48">
        <f>C22*C23*C24*C7</f>
        <v>-0.21009166195271597</v>
      </c>
      <c r="D25" s="48">
        <f>D22*D23*D24*D7</f>
        <v>-9.1735735057972057E-2</v>
      </c>
    </row>
    <row r="26" spans="1:4" x14ac:dyDescent="0.3">
      <c r="A26" t="s">
        <v>259</v>
      </c>
      <c r="B26" s="41">
        <f>ABS(B25)*B13</f>
        <v>0.11097877488188827</v>
      </c>
      <c r="C26" s="41">
        <f>ABS(C25)*C13</f>
        <v>0.21009166195271597</v>
      </c>
      <c r="D26" s="41">
        <f>ABS(D25)*D13</f>
        <v>9.1735735057972057E-2</v>
      </c>
    </row>
    <row r="27" spans="1:4" x14ac:dyDescent="0.3">
      <c r="A27" s="36" t="s">
        <v>260</v>
      </c>
      <c r="B27" s="43">
        <f>B26*141.612</f>
        <v>15.715926268573961</v>
      </c>
      <c r="C27" s="43">
        <f>C26*141.612</f>
        <v>29.751500432448015</v>
      </c>
      <c r="D27" s="43">
        <f>D26*141.612</f>
        <v>12.990880913029539</v>
      </c>
    </row>
    <row r="28" spans="1:4" x14ac:dyDescent="0.3">
      <c r="A28" s="39" t="s">
        <v>261</v>
      </c>
      <c r="B28" s="39"/>
      <c r="C28" s="39"/>
      <c r="D28" s="39"/>
    </row>
    <row r="29" spans="1:4" x14ac:dyDescent="0.3">
      <c r="A29" t="s">
        <v>262</v>
      </c>
      <c r="B29" s="44"/>
      <c r="C29" s="44"/>
      <c r="D29" s="44"/>
    </row>
    <row r="30" spans="1:4" x14ac:dyDescent="0.3">
      <c r="A30" t="s">
        <v>263</v>
      </c>
      <c r="B30" s="41" t="str">
        <f>IF(B29="","",B22/B29)</f>
        <v/>
      </c>
      <c r="C30" s="41" t="str">
        <f>IF(C29="","",C22/C29)</f>
        <v/>
      </c>
      <c r="D30" s="41" t="str">
        <f>IF(D29="","",D22/D29)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INPUTS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Adrian Chaix-Rozas</cp:lastModifiedBy>
  <dcterms:modified xsi:type="dcterms:W3CDTF">2026-09-23T04:01:57Z</dcterms:modified>
</cp:coreProperties>
</file>