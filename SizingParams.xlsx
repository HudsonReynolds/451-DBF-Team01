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50660628-DB97-442F-8311-3185EB8E5F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4" i="1"/>
  <c r="B22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<sst xmlns="http://schemas.openxmlformats.org/spreadsheetml/2006/main" count="134" uniqueCount="106">
  <si>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</si>
  <si>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</si>
  <si>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</si>
  <si>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</si>
  <si>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</si>
  <si>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</si>
  <si>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</si>
  <si>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</si>
  <si>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</si>
  <si>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</si>
  <si>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</si>
  <si>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</si>
  <si>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</si>
  <si>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</si>
  <si>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</si>
  <si>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</si>
  <si>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</si>
  <si>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</si>
  <si>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</si>
  <si>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</si>
  <si>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</si>
  <si>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</si>
  <si>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</si>
  <si>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</si>
  <si>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</si>
  <si>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</si>
  <si>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</si>
  <si>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</si>
  <si>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</si>
  <si>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</si>
  <si>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</si>
  <si>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</si>
  <si>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</si>
  <si>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</si>
  <si>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</si>
  <si>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</si>
  <si>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</si>
  <si>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</si>
  <si>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</si>
  <si>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</si>
  <si>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</si>
  <si>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</si>
  <si>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</si>
  <si>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</si>
  <si>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</si>
  <si>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</si>
  <si>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</si>
  <si>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</si>
  <si>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</si>
  <si>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</si>
  <si>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</si>
  <si>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</si>
  <si>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</si>
  <si>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</si>
  <si>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</si>
  <si>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</si>
  <si>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</si>
  <si>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</si>
  <si>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</si>
  <si>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</si>
  <si>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</si>
  <si>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</si>
  <si>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</si>
  <si>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</si>
  <si>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</si>
  <si>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</si>
  <si>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</si>
  <si>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</si>
  <si>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</si>
  <si>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</si>
  <si>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</si>
  <si>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</si>
  <si>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</si>
  <si>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</si>
  <si>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</si>
  <si>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</si>
  <si>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</si>
  <si>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</si>
  <si>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</si>
  <si>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</si>
  <si>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</si>
  <si>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</si>
  <si>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</si>
  <si>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</si>
  <si>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</si>
  <si>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</si>
  <si>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</si>
  <si>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</si>
  <si>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</si>
  <si>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</si>
  <si>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</si>
  <si>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</si>
  <si>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</si>
  <si>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</si>
  <si>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</si>
  <si>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</si>
  <si>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</si>
  <si>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</si>
  <si>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</si>
  <si>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W_S</t>
  </si>
  <si>
    <t>W_P</t>
  </si>
  <si>
    <t>Wing loading</t>
  </si>
  <si>
    <t>Power loading</t>
  </si>
  <si>
    <t>N/W</t>
  </si>
  <si>
    <t>N/m^2</t>
  </si>
  <si>
    <t>Assumed at cruise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</si>
</sst>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39</xdr:row>
      <xdr:rowOff>28575</xdr:rowOff>
    </xdr:from>
    <xdr:to>
      <xdr:col>4</xdr:col>
      <xdr:colOff>395343</xdr:colOff>
      <xdr:row>54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38</xdr:row>
      <xdr:rowOff>131989</xdr:rowOff>
    </xdr:from>
    <xdr:to>
      <xdr:col>13</xdr:col>
      <xdr:colOff>308883</xdr:colOff>
      <xdr:row>52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56</xdr:row>
      <xdr:rowOff>171450</xdr:rowOff>
    </xdr:from>
    <xdr:to>
      <xdr:col>4</xdr:col>
      <xdr:colOff>478367</xdr:colOff>
      <xdr:row>73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65</xdr:row>
      <xdr:rowOff>108857</xdr:rowOff>
    </xdr:from>
    <xdr:to>
      <xdr:col>14</xdr:col>
      <xdr:colOff>153761</xdr:colOff>
      <xdr:row>85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57</xdr:row>
      <xdr:rowOff>81642</xdr:rowOff>
    </xdr:from>
    <xdr:to>
      <xdr:col>13</xdr:col>
      <xdr:colOff>472167</xdr:colOff>
      <xdr:row>63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74</xdr:row>
      <xdr:rowOff>182217</xdr:rowOff>
    </xdr:from>
    <xdr:to>
      <xdr:col>4</xdr:col>
      <xdr:colOff>832305</xdr:colOff>
      <xdr:row>83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86</xdr:row>
      <xdr:rowOff>95250</xdr:rowOff>
    </xdr:from>
    <xdr:to>
      <xdr:col>4</xdr:col>
      <xdr:colOff>1657350</xdr:colOff>
      <xdr:row>89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87</xdr:row>
      <xdr:rowOff>142875</xdr:rowOff>
    </xdr:from>
    <xdr:to>
      <xdr:col>13</xdr:col>
      <xdr:colOff>248180</xdr:colOff>
      <xdr:row>108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5</xdr:col>
      <xdr:colOff>48283</xdr:colOff>
      <xdr:row>107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109</xdr:row>
      <xdr:rowOff>161925</xdr:rowOff>
    </xdr:from>
    <xdr:to>
      <xdr:col>4</xdr:col>
      <xdr:colOff>1647825</xdr:colOff>
      <xdr:row>124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113</xdr:row>
      <xdr:rowOff>57150</xdr:rowOff>
    </xdr:from>
    <xdr:to>
      <xdr:col>16</xdr:col>
      <xdr:colOff>19050</xdr:colOff>
      <xdr:row>119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zoomScaleNormal="100" workbookViewId="0">
      <selection activeCell="J23" sqref="J23"/>
    </sheetView>
  </sheetViews>
  <sheetFormatPr defaultRowHeight="15" x14ac:dyDescent="0.25"/>
  <cols>
    <col min="1" max="1" width="11.14062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76</v>
      </c>
      <c r="F7" t="s">
        <v>77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60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65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64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D11" t="s">
        <v>61</v>
      </c>
      <c r="E11" t="s">
        <v>51</v>
      </c>
      <c r="F11" t="s">
        <v>62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63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66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67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68</v>
      </c>
      <c r="E15" t="s">
        <v>50</v>
      </c>
      <c r="F15" t="s">
        <v>62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69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70</v>
      </c>
      <c r="F17" t="s">
        <v>105</v>
      </c>
    </row>
    <row r="18" spans="1:6" x14ac:dyDescent="0.25">
      <c r="A18" t="s">
        <v>5</v>
      </c>
      <c r="B18" s="2">
        <v>10.5</v>
      </c>
      <c r="C18" t="s">
        <v>8</v>
      </c>
      <c r="D18" t="s">
        <v>71</v>
      </c>
      <c r="E18" t="s">
        <v>91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72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73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74</v>
      </c>
      <c r="F21" t="s">
        <v>75</v>
      </c>
    </row>
    <row r="22" spans="1:6" x14ac:dyDescent="0.25">
      <c r="A22" t="s">
        <v>17</v>
      </c>
      <c r="B22" s="6">
        <f>B18*SQRT(B23)</f>
        <v>12.859821149611683</v>
      </c>
      <c r="C22" t="s">
        <v>8</v>
      </c>
      <c r="D22" t="s">
        <v>80</v>
      </c>
      <c r="E22" t="s">
        <v>82</v>
      </c>
    </row>
    <row r="23" spans="1:6" x14ac:dyDescent="0.25">
      <c r="A23" t="s">
        <v>26</v>
      </c>
      <c r="B23" s="1">
        <v>1.5</v>
      </c>
      <c r="C23" t="s">
        <v>7</v>
      </c>
      <c r="D23" t="s">
        <v>78</v>
      </c>
      <c r="E23" t="s">
        <v>79</v>
      </c>
    </row>
    <row r="24" spans="1:6" x14ac:dyDescent="0.25">
      <c r="A24" t="s">
        <v>81</v>
      </c>
      <c r="B24" s="6">
        <f>DEGREES(ACOS(1/B23))</f>
        <v>48.189685104221404</v>
      </c>
      <c r="C24" t="s">
        <v>85</v>
      </c>
      <c r="D24" t="s">
        <v>90</v>
      </c>
    </row>
    <row r="25" spans="1:6" x14ac:dyDescent="0.25">
      <c r="A25" t="s">
        <v>18</v>
      </c>
      <c r="B25" s="1">
        <v>0.75</v>
      </c>
      <c r="C25" t="s">
        <v>7</v>
      </c>
      <c r="D25" t="s">
        <v>83</v>
      </c>
      <c r="E25" t="s">
        <v>89</v>
      </c>
    </row>
    <row r="26" spans="1:6" x14ac:dyDescent="0.25">
      <c r="A26" t="s">
        <v>21</v>
      </c>
      <c r="B26" s="1">
        <v>0.75</v>
      </c>
      <c r="C26" t="s">
        <v>7</v>
      </c>
      <c r="D26" t="s">
        <v>86</v>
      </c>
      <c r="E26" t="s">
        <v>88</v>
      </c>
    </row>
    <row r="27" spans="1:6" x14ac:dyDescent="0.25">
      <c r="A27" t="s">
        <v>22</v>
      </c>
      <c r="B27" s="1">
        <v>0.45</v>
      </c>
      <c r="C27" t="s">
        <v>7</v>
      </c>
      <c r="D27" t="s">
        <v>87</v>
      </c>
      <c r="E27" t="s">
        <v>88</v>
      </c>
    </row>
    <row r="28" spans="1:6" x14ac:dyDescent="0.25">
      <c r="A28" t="s">
        <v>92</v>
      </c>
      <c r="B28" s="1">
        <v>30</v>
      </c>
      <c r="C28" t="s">
        <v>94</v>
      </c>
      <c r="D28" t="s">
        <v>95</v>
      </c>
      <c r="E28" t="s">
        <v>98</v>
      </c>
    </row>
    <row r="29" spans="1:6" x14ac:dyDescent="0.25">
      <c r="A29" t="s">
        <v>93</v>
      </c>
      <c r="B29" s="8">
        <v>100</v>
      </c>
      <c r="C29" t="s">
        <v>94</v>
      </c>
      <c r="D29" t="s">
        <v>96</v>
      </c>
      <c r="E29" t="s">
        <v>97</v>
      </c>
    </row>
    <row r="30" spans="1:6" x14ac:dyDescent="0.25">
      <c r="A30" t="s">
        <v>19</v>
      </c>
      <c r="B30" s="6">
        <f>DEGREES(ATAN(30/100))</f>
        <v>16.699244233993621</v>
      </c>
      <c r="C30" t="s">
        <v>85</v>
      </c>
      <c r="D30" t="s">
        <v>84</v>
      </c>
    </row>
    <row r="31" spans="1:6" x14ac:dyDescent="0.25">
      <c r="A31" t="s">
        <v>99</v>
      </c>
      <c r="B31" s="1"/>
      <c r="C31" t="s">
        <v>103</v>
      </c>
      <c r="D31" t="s">
        <v>101</v>
      </c>
    </row>
    <row r="32" spans="1:6" x14ac:dyDescent="0.25">
      <c r="A32" t="s">
        <v>100</v>
      </c>
      <c r="B32" s="1"/>
      <c r="C32" t="s">
        <v>104</v>
      </c>
      <c r="D32" t="s">
        <v>102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2026-08-30T19:57:23Z</dcterms:modified>
</cp:coreProperties>
</file>