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216" documentId="13_ncr:1_{60007970-5A4F-400B-B565-6CA8D1228FE7}" xr6:coauthVersionLast="47" xr6:coauthVersionMax="47" xr10:uidLastSave="{184DB1EF-0713-4BEA-BBDD-63D93BF77A7B}"/>
  <bookViews>
    <workbookView xWindow="1536" yWindow="1536" windowWidth="17280" windowHeight="9960" activeTab="1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<sst xmlns="http://schemas.openxmlformats.org/spreadsheetml/2006/main" count="505" uniqueCount="312">
  <si>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</si>
  <si>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</si>
  <si>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</si>
  <si>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</si>
  <si>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</si>
  <si>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</si>
  <si>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</si>
  <si>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</si>
  <si>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</si>
  <si>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</si>
  <si>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</si>
  <si>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</si>
  <si>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</si>
  <si>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</si>
  <si>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</si>
  <si>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</si>
  <si>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</si>
  <si>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</si>
  <si>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</si>
  <si>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</si>
  <si>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</si>
  <si>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</si>
  <si>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</si>
  <si>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</si>
  <si>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</si>
  <si>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</si>
  <si>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</si>
  <si>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</si>
  <si>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</si>
  <si>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</si>
  <si>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</si>
  <si>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</si>
  <si>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</si>
  <si>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</si>
  <si>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</si>
  <si>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</si>
  <si>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</si>
  <si>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</si>
  <si>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</si>
  <si>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</si>
  <si>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</si>
  <si>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</si>
  <si>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</si>
  <si>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</si>
  <si>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</si>
  <si>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</si>
  <si>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</si>
  <si>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</si>
  <si>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</si>
  <si>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</si>
  <si>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</si>
  <si>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</si>
  <si>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</si>
  <si>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</si>
  <si>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</si>
  <si>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</si>
  <si>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</si>
  <si>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</si>
  <si>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</si>
  <si>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</si>
  <si>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</si>
  <si>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</si>
  <si>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</si>
  <si>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</si>
  <si>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</si>
  <si>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</si>
  <si>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</si>
  <si>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</si>
  <si>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</si>
  <si>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</si>
  <si>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</si>
  <si>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</si>
  <si>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</si>
  <si>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</si>
  <si>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</si>
  <si>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</si>
  <si>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</si>
  <si>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</si>
  <si>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</si>
  <si>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</si>
  <si>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</si>
  <si>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</si>
  <si>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</si>
  <si>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</si>
  <si>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</si>
  <si>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</si>
  <si>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</si>
  <si>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</si>
  <si>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</si>
  <si>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</si>
  <si>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</si>
  <si>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</si>
  <si>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</si>
  <si>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</si>
  <si>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</si>
  <si>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</si>
  <si>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</si>
  <si>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</si>
  <si>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</si>
  <si>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</si>
  <si>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</si>
  <si>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</si>
  <si>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</si>
  <si>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</si>
  <si>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</si>
  <si>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</si>
  <si>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</si>
  <si>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</si>
  <si>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</si>
  <si>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</si>
  <si>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</si>
  <si>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</si>
  <si>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</si>
  <si>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</si>
  <si>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</si>
  <si>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</si>
  <si>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</si>
  <si>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</si>
  <si>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</si>
  <si>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</si>
  <si>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</si>
  <si>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</si>
  <si>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</si>
  <si>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</si>
  <si>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</si>
  <si>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</si>
  <si>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</si>
  <si>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</si>
  <si>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</si>
  <si>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</si>
  <si>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</si>
  <si>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</si>
  <si>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</si>
  <si>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</si>
  <si>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</si>
  <si>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</si>
  <si>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</si>
  <si>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</si>
  <si>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</si>
  <si>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</si>
  <si>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</si>
  <si>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</si>
  <si>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</si>
  <si>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</si>
  <si>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</si>
  <si>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</si>
  <si>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</si>
  <si>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</si>
  <si>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</si>
  <si>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</si>
  <si>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</si>
  <si>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</si>
  <si>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</si>
  <si>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</si>
  <si>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</si>
  <si>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</si>
  <si>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</si>
  <si>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</si>
  <si>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</si>
  <si>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</si>
  <si>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</si>
  <si>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</si>
  <si>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</si>
  <si>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</si>
  <si>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</si>
  <si>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</si>
  <si>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</si>
  <si>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</si>
  <si>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</si>
  <si>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</si>
  <si>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</si>
  <si>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</si>
  <si>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</si>
  <si>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</si>
  <si>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</si>
  <si>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</si>
  <si>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</si>
  <si>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</si>
  <si>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</si>
  <si>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</si>
  <si>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</si>
  <si>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</si>
  <si>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</si>
  <si>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</si>
  <si>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</si>
  <si>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</si>
  <si>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</si>
  <si>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</si>
  <si>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</si>
  <si>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</si>
  <si>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</si>
  <si>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</si>
  <si>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</si>
  <si>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</si>
  <si>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</si>
  <si>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</si>
  <si>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</si>
  <si>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</si>
  <si>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</si>
  <si>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</si>
  <si>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</si>
  <si>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</si>
  <si>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</si>
  <si>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</si>
  <si>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</si>
  <si>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</si>
  <si>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</si>
  <si>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</si>
  <si>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</si>
  <si>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</si>
  <si>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</si>
  <si>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</si>
  <si>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</si>
  <si>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</si>
  <si>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</si>
  <si>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</si>
  <si>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</si>
  <si>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</si>
  <si>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</si>
  <si>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</si>
  <si>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</si>
  <si>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</si>
  <si>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</si>
  <si>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</si>
  <si>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</si>
  <si>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</si>
  <si>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</si>
  <si>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</si>
  <si>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</si>
  <si>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</si>
  <si>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</si>
  <si>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</si>
  <si>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</si>
  <si>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</si>
  <si>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</si>
  <si>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</si>
  <si>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</si>
  <si>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</si>
  <si>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</si>
  <si>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</si>
  <si>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</si>
  <si>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</si>
  <si>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</si>
  <si>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</si>
  <si>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</si>
  <si>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</si>
  <si>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</si>
  <si>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</si>
  <si>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</si>
  <si>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</si>
  <si>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</si>
  <si>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</si>
  <si>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</si>
  <si>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</si>
  <si>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</si>
  <si>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</si>
  <si>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</si>
  <si>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</si>
  <si>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</si>
  <si>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</si>
  <si>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</si>
  <si>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</si>
  <si>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</si>
  <si>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</si>
  <si>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Negative (inverted-flight) max lift coefficient -- ASSUMPTION, not measured; refine with an XFLR5 negative-alpha sweep</t>
  </si>
  <si>
    <t>x_spar</t>
  </si>
  <si>
    <t>structures</t>
  </si>
  <si>
    <t>Wing spar/shear-center location, fraction of chord aft of LE -- ASSUMPTION, set once the spar is chosen; sign of (x_spar-x_ac) decides whether Cm_ac adds to or opposes the lift-offset torque</t>
  </si>
  <si>
    <t>eta_h</t>
  </si>
  <si>
    <t>Horizontal tail dynamic-pressure ratio q_tail/q_freestream -- ASSUMPTION (high-wing/clear tail), refine from wake/downwash data</t>
  </si>
  <si>
    <t>eta_v</t>
  </si>
  <si>
    <t>Vertical tail (fin) dynamic-pressure ratio -- ASSUMPTION, refine from wake/downwash data</t>
  </si>
  <si>
    <t>CL_max_tail</t>
  </si>
  <si>
    <t>Max lift coefficient of the tail's symmetric section (NACA 0010) -- ASSUMPTION, refine with an XFLR5 sweep</t>
  </si>
  <si>
    <t>D_fus_tail</t>
  </si>
  <si>
    <t>Fuselage/tailboom depth at the fin root -- ASSUMPTION, measure once the boom is sized</t>
  </si>
  <si>
    <t>x_LE_wing</t>
  </si>
  <si>
    <t>Fuselage station of the wing's MAC leading edge, from the nose -- ASSUMPTION/PLACEHOLDER, set from your actual layout</t>
  </si>
  <si>
    <t>sink_rate</t>
  </si>
  <si>
    <t>Design sink rate for the landing load factor derivation -- ASSUMPTION, state your source</t>
  </si>
  <si>
    <t>gear_stiffness</t>
  </si>
  <si>
    <t>N/m</t>
  </si>
  <si>
    <t>Main landing gear vertical stiffness (both legs) -- PLACEHOLDER, replace once gear is selected/tested</t>
  </si>
  <si>
    <t>Component</t>
  </si>
  <si>
    <t>Mass_g</t>
  </si>
  <si>
    <t>Station_m</t>
  </si>
  <si>
    <t>Propeller+spinner</t>
  </si>
  <si>
    <t>PLACEHOLDER</t>
  </si>
  <si>
    <t>Motor</t>
  </si>
  <si>
    <t>Motor mount/firewall</t>
  </si>
  <si>
    <t>ESC</t>
  </si>
  <si>
    <t>Nose gear</t>
  </si>
  <si>
    <t>Battery</t>
  </si>
  <si>
    <t>PLACEHOLDER (sized from W_e_frac/W_pay split)</t>
  </si>
  <si>
    <t>Flight controller/avionics</t>
  </si>
  <si>
    <t>Wiring + connectors</t>
  </si>
  <si>
    <t>Misc electronics</t>
  </si>
  <si>
    <t>PLACEHOLDER filler</t>
  </si>
  <si>
    <t>Servo, aileron 1</t>
  </si>
  <si>
    <t>REAL -- MG90S spec, A7</t>
  </si>
  <si>
    <t>Servo, aileron 2</t>
  </si>
  <si>
    <t>Payload cube</t>
  </si>
  <si>
    <t>REAL -- Sheet1 W_pay</t>
  </si>
  <si>
    <t>Wing (spar+foam)</t>
  </si>
  <si>
    <t>PLACEHOLDER, station ~ x_ac</t>
  </si>
  <si>
    <t>Main gear (pair)</t>
  </si>
  <si>
    <t>Fuselage (keel+shell)</t>
  </si>
  <si>
    <t>Servo, elevator</t>
  </si>
  <si>
    <t>Servo, rudder</t>
  </si>
  <si>
    <t>H-tail (spar+foam)</t>
  </si>
  <si>
    <t>PLACEHOLDER, station ~ x_t</t>
  </si>
  <si>
    <t>V-tail (spar+foam)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</si>
</sst>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19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opLeftCell="A72" workbookViewId="0">
      <selection activeCell="A97" sqref="A97:F104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44" customWidth="1"/>
    <col min="6" max="6" width="60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-0.8</v>
      </c>
      <c r="D96" t="s">
        <v>8</v>
      </c>
      <c r="E96" t="s">
        <v>264</v>
      </c>
    </row>
    <row r="97" spans="1:5" x14ac:dyDescent="0.3">
      <c r="A97" t="s">
        <v>265</v>
      </c>
      <c r="B97" t="s">
        <v>266</v>
      </c>
      <c r="C97">
        <v>0.3</v>
      </c>
      <c r="D97" t="s">
        <v>8</v>
      </c>
      <c r="E97" t="s">
        <v>267</v>
      </c>
    </row>
    <row r="98" spans="1:5" x14ac:dyDescent="0.3">
      <c r="A98" t="s">
        <v>268</v>
      </c>
      <c r="B98" t="s">
        <v>266</v>
      </c>
      <c r="C98">
        <v>1</v>
      </c>
      <c r="D98" t="s">
        <v>8</v>
      </c>
      <c r="E98" t="s">
        <v>269</v>
      </c>
    </row>
    <row r="99" spans="1:5" x14ac:dyDescent="0.3">
      <c r="A99" t="s">
        <v>270</v>
      </c>
      <c r="B99" t="s">
        <v>266</v>
      </c>
      <c r="C99">
        <v>1</v>
      </c>
      <c r="D99" t="s">
        <v>8</v>
      </c>
      <c r="E99" t="s">
        <v>271</v>
      </c>
    </row>
    <row r="100" spans="1:5" x14ac:dyDescent="0.3">
      <c r="A100" t="s">
        <v>272</v>
      </c>
      <c r="B100" t="s">
        <v>266</v>
      </c>
      <c r="C100">
        <v>1</v>
      </c>
      <c r="D100" t="s">
        <v>8</v>
      </c>
      <c r="E100" t="s">
        <v>273</v>
      </c>
    </row>
    <row r="101" spans="1:5" x14ac:dyDescent="0.3">
      <c r="A101" t="s">
        <v>274</v>
      </c>
      <c r="B101" t="s">
        <v>266</v>
      </c>
      <c r="C101">
        <v>0.03</v>
      </c>
      <c r="D101" t="s">
        <v>59</v>
      </c>
      <c r="E101" t="s">
        <v>275</v>
      </c>
    </row>
    <row r="102" spans="1:5" x14ac:dyDescent="0.3">
      <c r="A102" t="s">
        <v>276</v>
      </c>
      <c r="B102" t="s">
        <v>266</v>
      </c>
      <c r="C102">
        <v>0.3</v>
      </c>
      <c r="D102" t="s">
        <v>59</v>
      </c>
      <c r="E102" t="s">
        <v>277</v>
      </c>
    </row>
    <row r="103" spans="1:5" x14ac:dyDescent="0.3">
      <c r="A103" t="s">
        <v>278</v>
      </c>
      <c r="B103" t="s">
        <v>266</v>
      </c>
      <c r="C103">
        <v>0.5</v>
      </c>
      <c r="D103" t="s">
        <v>137</v>
      </c>
      <c r="E103" t="s">
        <v>279</v>
      </c>
    </row>
    <row r="104" spans="1:5" x14ac:dyDescent="0.3">
      <c r="A104" t="s">
        <v>280</v>
      </c>
      <c r="B104" t="s">
        <v>266</v>
      </c>
      <c r="C104">
        <v>5000</v>
      </c>
      <c r="D104" t="s">
        <v>281</v>
      </c>
      <c r="E104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/>
  </sheetViews>
  <sheetFormatPr defaultRowHeight="14.4" x14ac:dyDescent="0.3"/>
  <cols>
    <col min="1" max="1" width="26.77734375" customWidth="1"/>
    <col min="4" max="4" width="40.77734375" customWidth="1"/>
  </cols>
  <sheetData>
    <row r="1" spans="1:4" x14ac:dyDescent="0.3">
      <c r="A1" s="18" t="s">
        <v>283</v>
      </c>
      <c r="B1" s="18" t="s">
        <v>284</v>
      </c>
      <c r="C1" s="18" t="s">
        <v>285</v>
      </c>
      <c r="D1" s="18" t="s">
        <v>5</v>
      </c>
    </row>
    <row r="2" spans="1:4" x14ac:dyDescent="0.3">
      <c r="A2" t="s">
        <v>286</v>
      </c>
      <c r="B2">
        <v>40</v>
      </c>
      <c r="C2">
        <v>0</v>
      </c>
      <c r="D2" t="s">
        <v>287</v>
      </c>
    </row>
    <row r="3" spans="1:4" x14ac:dyDescent="0.3">
      <c r="A3" t="s">
        <v>288</v>
      </c>
      <c r="B3">
        <v>180</v>
      </c>
      <c r="C3">
        <v>3.5000000000000003E-2</v>
      </c>
      <c r="D3" t="s">
        <v>287</v>
      </c>
    </row>
    <row r="4" spans="1:4" x14ac:dyDescent="0.3">
      <c r="A4" t="s">
        <v>289</v>
      </c>
      <c r="B4">
        <v>35</v>
      </c>
      <c r="C4">
        <v>5.5E-2</v>
      </c>
      <c r="D4" t="s">
        <v>287</v>
      </c>
    </row>
    <row r="5" spans="1:4" x14ac:dyDescent="0.3">
      <c r="A5" t="s">
        <v>290</v>
      </c>
      <c r="B5">
        <v>50</v>
      </c>
      <c r="C5">
        <v>0.09</v>
      </c>
      <c r="D5" t="s">
        <v>287</v>
      </c>
    </row>
    <row r="6" spans="1:4" x14ac:dyDescent="0.3">
      <c r="A6" t="s">
        <v>291</v>
      </c>
      <c r="B6">
        <v>70</v>
      </c>
      <c r="C6">
        <v>9.5000000000000001E-2</v>
      </c>
      <c r="D6" t="s">
        <v>287</v>
      </c>
    </row>
    <row r="7" spans="1:4" x14ac:dyDescent="0.3">
      <c r="A7" t="s">
        <v>292</v>
      </c>
      <c r="B7">
        <v>680</v>
      </c>
      <c r="C7">
        <v>0.12</v>
      </c>
      <c r="D7" t="s">
        <v>293</v>
      </c>
    </row>
    <row r="8" spans="1:4" x14ac:dyDescent="0.3">
      <c r="A8" t="s">
        <v>294</v>
      </c>
      <c r="B8">
        <v>90</v>
      </c>
      <c r="C8">
        <v>0.23</v>
      </c>
      <c r="D8" t="s">
        <v>287</v>
      </c>
    </row>
    <row r="9" spans="1:4" x14ac:dyDescent="0.3">
      <c r="A9" t="s">
        <v>295</v>
      </c>
      <c r="B9">
        <v>100</v>
      </c>
      <c r="C9">
        <v>0.3</v>
      </c>
      <c r="D9" t="s">
        <v>287</v>
      </c>
    </row>
    <row r="10" spans="1:4" x14ac:dyDescent="0.3">
      <c r="A10" t="s">
        <v>296</v>
      </c>
      <c r="B10">
        <v>400</v>
      </c>
      <c r="C10">
        <v>0.32</v>
      </c>
      <c r="D10" t="s">
        <v>297</v>
      </c>
    </row>
    <row r="11" spans="1:4" x14ac:dyDescent="0.3">
      <c r="A11" t="s">
        <v>298</v>
      </c>
      <c r="B11">
        <v>13.4</v>
      </c>
      <c r="C11">
        <v>0.4</v>
      </c>
      <c r="D11" t="s">
        <v>299</v>
      </c>
    </row>
    <row r="12" spans="1:4" x14ac:dyDescent="0.3">
      <c r="A12" t="s">
        <v>300</v>
      </c>
      <c r="B12">
        <v>13.4</v>
      </c>
      <c r="C12">
        <v>0.4</v>
      </c>
      <c r="D12" t="s">
        <v>299</v>
      </c>
    </row>
    <row r="13" spans="1:4" x14ac:dyDescent="0.3">
      <c r="A13" t="s">
        <v>301</v>
      </c>
      <c r="B13">
        <v>520</v>
      </c>
      <c r="C13">
        <v>0.4</v>
      </c>
      <c r="D13" t="s">
        <v>302</v>
      </c>
    </row>
    <row r="14" spans="1:4" x14ac:dyDescent="0.3">
      <c r="A14" t="s">
        <v>303</v>
      </c>
      <c r="B14">
        <v>1400</v>
      </c>
      <c r="C14">
        <v>0.40699999999999997</v>
      </c>
      <c r="D14" t="s">
        <v>304</v>
      </c>
    </row>
    <row r="15" spans="1:4" x14ac:dyDescent="0.3">
      <c r="A15" t="s">
        <v>305</v>
      </c>
      <c r="B15">
        <v>220</v>
      </c>
      <c r="C15">
        <v>0.43</v>
      </c>
      <c r="D15" t="s">
        <v>287</v>
      </c>
    </row>
    <row r="16" spans="1:4" x14ac:dyDescent="0.3">
      <c r="A16" t="s">
        <v>306</v>
      </c>
      <c r="B16">
        <v>1900</v>
      </c>
      <c r="C16">
        <v>0.55000000000000004</v>
      </c>
      <c r="D16" t="s">
        <v>287</v>
      </c>
    </row>
    <row r="17" spans="1:4" x14ac:dyDescent="0.3">
      <c r="A17" t="s">
        <v>307</v>
      </c>
      <c r="B17">
        <v>13.4</v>
      </c>
      <c r="C17">
        <v>1</v>
      </c>
      <c r="D17" t="s">
        <v>299</v>
      </c>
    </row>
    <row r="18" spans="1:4" x14ac:dyDescent="0.3">
      <c r="A18" t="s">
        <v>308</v>
      </c>
      <c r="B18">
        <v>13.4</v>
      </c>
      <c r="C18">
        <v>1</v>
      </c>
      <c r="D18" t="s">
        <v>299</v>
      </c>
    </row>
    <row r="19" spans="1:4" x14ac:dyDescent="0.3">
      <c r="A19" t="s">
        <v>309</v>
      </c>
      <c r="B19">
        <v>120</v>
      </c>
      <c r="C19">
        <v>1.05</v>
      </c>
      <c r="D19" t="s">
        <v>310</v>
      </c>
    </row>
    <row r="20" spans="1:4" x14ac:dyDescent="0.3">
      <c r="A20" t="s">
        <v>311</v>
      </c>
      <c r="B20">
        <v>80</v>
      </c>
      <c r="C20">
        <v>1.05</v>
      </c>
      <c r="D20" t="s">
        <v>310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2026-09-28T19:33:48Z</dcterms:modified>
</cp:coreProperties>
</file>