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57" documentId="13_ncr:1_{8DB30DBF-D90C-D04A-9CE1-D2D257DE167B}" xr6:coauthVersionLast="47" xr6:coauthVersionMax="47" xr10:uidLastSave="{144341BB-1A2C-4E5A-9D4E-89E881CE32DC}"/>
  <bookViews>
    <workbookView xWindow="-289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  <c r="B39" i="1" a="1"/>
  <c r="B39" i="1" s="1"/>
  <c r="B40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54" i="1" l="1"/>
  <c r="B42" i="1"/>
  <c r="B8" i="1" s="1"/>
  <c r="B9" i="1" s="1" a="1"/>
  <c r="B9" i="1" s="1"/>
  <c r="B15" i="1" s="1" a="1"/>
  <c r="B15" i="1" s="1"/>
  <c r="B18" i="1" s="1" a="1"/>
  <c r="B18" i="1" s="1"/>
  <c r="B16" i="1" l="1" a="1"/>
  <c r="B16" i="1" s="1"/>
  <c r="B17" i="1" s="1" a="1"/>
  <c r="B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<sst xmlns="http://schemas.openxmlformats.org/spreadsheetml/2006/main" count="210" uniqueCount="164">
  <si>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</si>
  <si>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</si>
  <si>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</si>
  <si>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</si>
  <si>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</si>
  <si>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</si>
  <si>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</si>
  <si>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</si>
  <si>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</si>
  <si>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</si>
  <si>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</si>
  <si>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</si>
  <si>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</si>
  <si>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</si>
  <si>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</si>
  <si>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</si>
  <si>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</si>
  <si>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</si>
  <si>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</si>
  <si>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</si>
  <si>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</si>
  <si>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</si>
  <si>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</si>
  <si>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</si>
  <si>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</si>
  <si>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</si>
  <si>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</si>
  <si>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</si>
  <si>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</si>
  <si>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</si>
  <si>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</si>
  <si>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</si>
  <si>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</si>
  <si>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</si>
  <si>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</si>
  <si>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</si>
  <si>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</si>
  <si>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</si>
  <si>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</si>
  <si>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</si>
  <si>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</si>
  <si>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</si>
  <si>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</si>
  <si>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</si>
  <si>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</si>
  <si>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</si>
  <si>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</si>
  <si>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</si>
  <si>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</si>
  <si>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</si>
  <si>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</si>
  <si>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</si>
  <si>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</si>
  <si>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</si>
  <si>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</si>
  <si>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</si>
  <si>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</si>
  <si>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</si>
  <si>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</si>
  <si>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</si>
  <si>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</si>
  <si>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</si>
  <si>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</si>
  <si>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</si>
  <si>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</si>
  <si>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</si>
  <si>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</si>
  <si>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</si>
  <si>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</si>
  <si>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</si>
  <si>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</si>
  <si>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</si>
  <si>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</si>
  <si>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</si>
  <si>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</si>
  <si>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</si>
  <si>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</si>
  <si>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</si>
  <si>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</si>
  <si>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</si>
  <si>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</si>
  <si>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</si>
  <si>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</si>
  <si>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</si>
  <si>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</si>
  <si>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</si>
  <si>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</si>
  <si>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</si>
  <si>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</si>
  <si>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</si>
  <si>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</si>
  <si>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</si>
  <si>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</si>
  <si>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</si>
  <si>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</si>
  <si>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</si>
  <si>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</si>
  <si>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</si>
  <si>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</si>
  <si>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</si>
  <si>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</si>
  <si>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</si>
  <si>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</si>
  <si>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</si>
  <si>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</si>
  <si>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</si>
  <si>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</si>
  <si>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</si>
  <si>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</si>
  <si>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</si>
  <si>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</si>
  <si>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</si>
  <si>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</si>
  <si>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</si>
  <si>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</si>
  <si>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</si>
  <si>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</si>
  <si>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</si>
  <si>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</si>
  <si>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</si>
  <si>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</si>
  <si>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</si>
  <si>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</si>
  <si>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</si>
  <si>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</si>
  <si>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</si>
  <si>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</si>
  <si>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</si>
  <si>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</si>
  <si>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</si>
  <si>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</si>
  <si>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</si>
  <si>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</si>
  <si>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</si>
  <si>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</si>
  <si>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</si>
  <si>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</si>
  <si>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</si>
  <si>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</si>
  <si>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</si>
  <si>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</si>
  <si>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</si>
  <si>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</si>
  <si>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</si>
  <si>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</si>
  <si>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</si>
  <si>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</si>
  <si>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</si>
  <si>
    <t>e_t</t>
  </si>
  <si>
    <t>Oswald span efficiency, tail</t>
  </si>
  <si>
    <t>Need to Justify</t>
  </si>
  <si>
    <t>CD_cruise</t>
  </si>
  <si>
    <t>CM_ac_w</t>
  </si>
  <si>
    <t>SM</t>
  </si>
  <si>
    <t>--</t>
  </si>
  <si>
    <t>Static Margin</t>
  </si>
  <si>
    <t>Wingspan</t>
  </si>
  <si>
    <t>Wing Span</t>
  </si>
  <si>
    <t>Fuselage Thickness</t>
  </si>
  <si>
    <t>t_fuselage</t>
  </si>
  <si>
    <t>St_S</t>
  </si>
  <si>
    <t>Area of Tail</t>
  </si>
  <si>
    <t>S_t</t>
  </si>
  <si>
    <t>Size Ratio of Tail to 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</si>
</sst>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5">
    <font>
      <sz val="11"/>
      <color indexed="8"/>
      <name val="Calibri"/>
    </font>
    <font>
      <sz val="11"/>
      <color indexed="12"/>
      <name val="Calibri"/>
      <family val="2"/>
    </font>
    <font>
      <b/>
      <sz val="11"/>
      <color indexed="14"/>
      <name val="Calibri"/>
      <family val="2"/>
    </font>
    <font>
      <sz val="11"/>
      <color indexed="8"/>
      <name val="Calibri"/>
      <family val="2"/>
    </font>
    <font>
      <sz val="11"/>
      <color rgb="FF3F3F76"/>
      <name val="Helvetica Neu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  <fill>
      <patternFill patternType="solid">
        <fgColor rgb="FFFFCC99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 applyNumberFormat="0" applyFill="0" applyBorder="0" applyProtection="0"/>
    <xf numFmtId="0" fontId="4" fillId="5" borderId="8" applyNumberFormat="0" applyAlignment="0" applyProtection="0"/>
  </cellStyleXfs>
  <cellXfs count="24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49" fontId="0" fillId="2" borderId="2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0" fontId="1" fillId="3" borderId="4" xfId="0" applyNumberFormat="1" applyFont="1" applyFill="1" applyBorder="1"/>
    <xf numFmtId="49" fontId="0" fillId="2" borderId="5" xfId="0" applyNumberFormat="1" applyFill="1" applyBorder="1"/>
    <xf numFmtId="164" fontId="1" fillId="3" borderId="4" xfId="0" applyNumberFormat="1" applyFont="1" applyFill="1" applyBorder="1"/>
    <xf numFmtId="2" fontId="1" fillId="3" borderId="4" xfId="0" applyNumberFormat="1" applyFont="1" applyFill="1" applyBorder="1"/>
    <xf numFmtId="165" fontId="2" fillId="4" borderId="4" xfId="0" applyNumberFormat="1" applyFont="1" applyFill="1" applyBorder="1"/>
    <xf numFmtId="0" fontId="2" fillId="4" borderId="4" xfId="0" applyNumberFormat="1" applyFont="1" applyFill="1" applyBorder="1"/>
    <xf numFmtId="2" fontId="2" fillId="4" borderId="4" xfId="0" applyNumberFormat="1" applyFont="1" applyFill="1" applyBorder="1"/>
    <xf numFmtId="165" fontId="1" fillId="3" borderId="4" xfId="0" applyNumberFormat="1" applyFont="1" applyFill="1" applyBorder="1"/>
    <xf numFmtId="166" fontId="1" fillId="3" borderId="4" xfId="0" applyNumberFormat="1" applyFont="1" applyFill="1" applyBorder="1"/>
    <xf numFmtId="0" fontId="2" fillId="4" borderId="6" xfId="0" applyNumberFormat="1" applyFont="1" applyFill="1" applyBorder="1"/>
    <xf numFmtId="2" fontId="2" fillId="4" borderId="6" xfId="0" applyNumberFormat="1" applyFont="1" applyFill="1" applyBorder="1"/>
    <xf numFmtId="167" fontId="2" fillId="4" borderId="7" xfId="0" applyNumberFormat="1" applyFont="1" applyFill="1" applyBorder="1"/>
    <xf numFmtId="0" fontId="0" fillId="2" borderId="1" xfId="0" applyNumberFormat="1" applyFill="1" applyBorder="1"/>
    <xf numFmtId="49" fontId="3" fillId="2" borderId="1" xfId="0" applyNumberFormat="1" applyFont="1" applyFill="1" applyBorder="1"/>
    <xf numFmtId="0" fontId="3" fillId="2" borderId="1" xfId="0" applyFont="1" applyFill="1" applyBorder="1"/>
    <xf numFmtId="49" fontId="3" fillId="2" borderId="3" xfId="0" applyNumberFormat="1" applyFont="1" applyFill="1" applyBorder="1"/>
    <xf numFmtId="0" fontId="0" fillId="2" borderId="1" xfId="0" quotePrefix="1" applyFill="1" applyBorder="1"/>
    <xf numFmtId="0" fontId="4" fillId="5" borderId="8" xfId="1"/>
  </cellXfs>
  <cellStyles count="2">
    <cellStyle name="Input" xfId="1" builtinId="20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9151</xdr:colOff>
      <xdr:row>37</xdr:row>
      <xdr:rowOff>141220</xdr:rowOff>
    </xdr:from>
    <xdr:to>
      <xdr:col>15</xdr:col>
      <xdr:colOff>43963</xdr:colOff>
      <xdr:row>50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9"/>
  <sheetViews>
    <sheetView showGridLines="0" tabSelected="1" topLeftCell="A37" zoomScale="130" zoomScaleNormal="130" workbookViewId="0">
      <selection activeCell="D54" sqref="D54"/>
    </sheetView>
  </sheetViews>
  <sheetFormatPr defaultColWidth="8.77734375" defaultRowHeight="14.55" customHeight="1"/>
  <cols>
    <col min="1" max="1" width="11.77734375" style="1" customWidth="1"/>
    <col min="2" max="2" width="9.44140625" style="1" customWidth="1"/>
    <col min="3" max="3" width="8.77734375" style="1" customWidth="1"/>
    <col min="4" max="5" width="25.77734375" style="1" customWidth="1"/>
    <col min="6" max="18" width="8.77734375" style="1" customWidth="1"/>
    <col min="19" max="16384" width="8.77734375" style="1"/>
  </cols>
  <sheetData>
    <row r="1" spans="1:17" ht="14.5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14.55" customHeight="1">
      <c r="A2" s="5" t="s">
        <v>6</v>
      </c>
      <c r="B2" s="6">
        <v>1.2250000000000001</v>
      </c>
      <c r="C2" s="7" t="s">
        <v>7</v>
      </c>
      <c r="D2" s="2" t="s">
        <v>8</v>
      </c>
      <c r="E2" s="2" t="s">
        <v>9</v>
      </c>
      <c r="F2" s="2" t="s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14.55" customHeight="1">
      <c r="A3" s="5" t="s">
        <v>11</v>
      </c>
      <c r="B3" s="8">
        <v>1.7960000000000001E-5</v>
      </c>
      <c r="C3" s="7" t="s">
        <v>12</v>
      </c>
      <c r="D3" s="2" t="s">
        <v>13</v>
      </c>
      <c r="E3" s="2" t="s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4.55" customHeight="1">
      <c r="A4" s="5" t="s">
        <v>15</v>
      </c>
      <c r="B4" s="6">
        <v>9.81</v>
      </c>
      <c r="C4" s="7" t="s">
        <v>16</v>
      </c>
      <c r="D4" s="2" t="s">
        <v>17</v>
      </c>
      <c r="E4" s="2" t="s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4.55" customHeight="1">
      <c r="A5" s="5" t="s">
        <v>18</v>
      </c>
      <c r="B5" s="6">
        <v>0.05</v>
      </c>
      <c r="C5" s="7" t="s">
        <v>19</v>
      </c>
      <c r="D5" s="2" t="s">
        <v>20</v>
      </c>
      <c r="E5" s="2" t="s">
        <v>21</v>
      </c>
      <c r="F5" s="2" t="s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4.55" customHeight="1">
      <c r="A6" s="5" t="s">
        <v>23</v>
      </c>
      <c r="B6" s="6">
        <v>0.08</v>
      </c>
      <c r="C6" s="7" t="s">
        <v>19</v>
      </c>
      <c r="D6" s="2" t="s">
        <v>24</v>
      </c>
      <c r="E6" s="2" t="s">
        <v>21</v>
      </c>
      <c r="F6" s="2" t="s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4.55" customHeight="1">
      <c r="A7" s="5" t="s">
        <v>26</v>
      </c>
      <c r="B7" s="9">
        <v>0.7</v>
      </c>
      <c r="C7" s="7" t="s">
        <v>19</v>
      </c>
      <c r="D7" s="2" t="s">
        <v>27</v>
      </c>
      <c r="E7" s="2" t="s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4.55" customHeight="1">
      <c r="A8" s="5" t="s">
        <v>29</v>
      </c>
      <c r="B8" s="9">
        <f>B51/B42</f>
        <v>4.7168676768718001</v>
      </c>
      <c r="C8" s="7" t="s">
        <v>19</v>
      </c>
      <c r="D8" s="2" t="s">
        <v>30</v>
      </c>
      <c r="E8" s="2" t="s">
        <v>31</v>
      </c>
      <c r="F8" s="2" t="s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4.55" customHeight="1">
      <c r="A9" s="5" t="s">
        <v>33</v>
      </c>
      <c r="B9" s="10" cm="1">
        <f t="array" ref="B9">1/(PI()*B7*B8)</f>
        <v>9.6404741448155279E-2</v>
      </c>
      <c r="C9" s="7" t="s">
        <v>19</v>
      </c>
      <c r="D9" s="2" t="s">
        <v>34</v>
      </c>
      <c r="E9" s="2" t="s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4.55" customHeight="1">
      <c r="A10" s="5" t="s">
        <v>36</v>
      </c>
      <c r="B10" s="6">
        <v>0.3</v>
      </c>
      <c r="C10" s="7" t="s">
        <v>19</v>
      </c>
      <c r="D10" s="2" t="s">
        <v>37</v>
      </c>
      <c r="E10" s="2" t="s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4.55" customHeight="1">
      <c r="A11" s="5" t="s">
        <v>39</v>
      </c>
      <c r="B11" s="6">
        <v>1.43</v>
      </c>
      <c r="C11" s="7" t="s">
        <v>19</v>
      </c>
      <c r="D11" s="2" t="s">
        <v>40</v>
      </c>
      <c r="E11" s="2" t="s">
        <v>41</v>
      </c>
      <c r="F11" s="2" t="s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4.55" customHeight="1">
      <c r="A12" s="5" t="s">
        <v>43</v>
      </c>
      <c r="B12" s="11" cm="1">
        <f t="array" ref="B12">B10</f>
        <v>0.3</v>
      </c>
      <c r="C12" s="7" t="s">
        <v>19</v>
      </c>
      <c r="D12" s="2" t="s">
        <v>44</v>
      </c>
      <c r="E12" s="2" t="s">
        <v>45</v>
      </c>
      <c r="F12" s="2" t="s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4.55" customHeight="1">
      <c r="A13" s="5" t="s">
        <v>47</v>
      </c>
      <c r="B13" s="12" cm="1">
        <f t="array" ref="B13">B11/B20^2</f>
        <v>1.1818181818181817</v>
      </c>
      <c r="C13" s="7" t="s">
        <v>19</v>
      </c>
      <c r="D13" s="2" t="s">
        <v>48</v>
      </c>
      <c r="E13" s="2" t="s">
        <v>49</v>
      </c>
      <c r="F13" s="2" t="s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4.55" customHeight="1">
      <c r="A14" s="5" t="s">
        <v>51</v>
      </c>
      <c r="B14" s="13">
        <v>0.04</v>
      </c>
      <c r="C14" s="7" t="s">
        <v>19</v>
      </c>
      <c r="D14" s="2" t="s">
        <v>52</v>
      </c>
      <c r="E14" s="2" t="s">
        <v>53</v>
      </c>
      <c r="F14" s="2" t="s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4.55" customHeight="1">
      <c r="A15" s="21" t="s">
        <v>151</v>
      </c>
      <c r="B15" s="10" cm="1">
        <f t="array" ref="B15">B14+B9*B10^2</f>
        <v>4.8676426730333976E-2</v>
      </c>
      <c r="C15" s="7" t="s">
        <v>19</v>
      </c>
      <c r="D15" s="2" t="s">
        <v>55</v>
      </c>
      <c r="E15" s="2" t="s">
        <v>56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4.55" customHeight="1">
      <c r="A16" s="5" t="s">
        <v>57</v>
      </c>
      <c r="B16" s="10" cm="1">
        <f t="array" ref="B16">B14+B9*B12^2</f>
        <v>4.8676426730333976E-2</v>
      </c>
      <c r="C16" s="7" t="s">
        <v>19</v>
      </c>
      <c r="D16" s="2" t="s">
        <v>58</v>
      </c>
      <c r="E16" s="2" t="s">
        <v>59</v>
      </c>
      <c r="F16" s="2" t="s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4.55" customHeight="1">
      <c r="A17" s="5" t="s">
        <v>60</v>
      </c>
      <c r="B17" s="10" cm="1">
        <f t="array" ref="B17">B16-B5*B12</f>
        <v>3.3676426730333976E-2</v>
      </c>
      <c r="C17" s="7" t="s">
        <v>19</v>
      </c>
      <c r="D17" s="2" t="s">
        <v>61</v>
      </c>
      <c r="E17" s="2" t="s">
        <v>62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4.55" customHeight="1">
      <c r="A18" s="5" t="s">
        <v>63</v>
      </c>
      <c r="B18" s="12" cm="1">
        <f t="array" ref="B18">B10/B15</f>
        <v>6.1631475470044563</v>
      </c>
      <c r="C18" s="7" t="s">
        <v>19</v>
      </c>
      <c r="D18" s="2" t="s">
        <v>64</v>
      </c>
      <c r="E18" s="4"/>
      <c r="F18" s="2" t="s">
        <v>65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4.55" customHeight="1">
      <c r="A19" s="5" t="s">
        <v>66</v>
      </c>
      <c r="B19" s="9">
        <v>10.5</v>
      </c>
      <c r="C19" s="7" t="s">
        <v>16</v>
      </c>
      <c r="D19" s="2" t="s">
        <v>67</v>
      </c>
      <c r="E19" s="2" t="s">
        <v>68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4.55" customHeight="1">
      <c r="A20" s="5" t="s">
        <v>69</v>
      </c>
      <c r="B20" s="14">
        <v>1.1000000000000001</v>
      </c>
      <c r="C20" s="7" t="s">
        <v>19</v>
      </c>
      <c r="D20" s="2" t="s">
        <v>70</v>
      </c>
      <c r="E20" s="2" t="s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4.55" customHeight="1">
      <c r="A21" s="5" t="s">
        <v>71</v>
      </c>
      <c r="B21" s="12" cm="1">
        <f t="array" ref="B21">B20*B19</f>
        <v>11.55</v>
      </c>
      <c r="C21" s="7" t="s">
        <v>16</v>
      </c>
      <c r="D21" s="2" t="s">
        <v>72</v>
      </c>
      <c r="E21" s="2" t="s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4.55" customHeight="1">
      <c r="A22" s="5" t="s">
        <v>73</v>
      </c>
      <c r="B22" s="12" cm="1">
        <f t="array" ref="B22">SQRT(B19^2*B11/B10)</f>
        <v>22.924332051337942</v>
      </c>
      <c r="C22" s="7" t="s">
        <v>16</v>
      </c>
      <c r="D22" s="2" t="s">
        <v>74</v>
      </c>
      <c r="E22" s="4"/>
      <c r="F22" s="2" t="s">
        <v>75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4.55" customHeight="1">
      <c r="A23" s="5" t="s">
        <v>76</v>
      </c>
      <c r="B23" s="12" cm="1">
        <f t="array" ref="B23">SQRT(B26*B4*SQRT(B25^2-1))</f>
        <v>14.810748414335091</v>
      </c>
      <c r="C23" s="7" t="s">
        <v>16</v>
      </c>
      <c r="D23" s="2" t="s">
        <v>77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4.55" customHeight="1">
      <c r="A24" s="5" t="s">
        <v>78</v>
      </c>
      <c r="B24" s="12" cm="1">
        <f t="array" ref="B24">B19*SQRT(B25)</f>
        <v>12.859821149611683</v>
      </c>
      <c r="C24" s="7" t="s">
        <v>16</v>
      </c>
      <c r="D24" s="2" t="s">
        <v>79</v>
      </c>
      <c r="E24" s="2" t="s">
        <v>80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4.55" customHeight="1">
      <c r="A25" s="5" t="s">
        <v>81</v>
      </c>
      <c r="B25" s="6">
        <v>1.5</v>
      </c>
      <c r="C25" s="7" t="s">
        <v>19</v>
      </c>
      <c r="D25" s="2" t="s">
        <v>82</v>
      </c>
      <c r="E25" s="2" t="s">
        <v>83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4.55" customHeight="1">
      <c r="A26" s="5" t="s">
        <v>84</v>
      </c>
      <c r="B26" s="6">
        <v>20</v>
      </c>
      <c r="C26" s="7" t="s">
        <v>85</v>
      </c>
      <c r="D26" s="2" t="s">
        <v>86</v>
      </c>
      <c r="E26" s="2" t="s">
        <v>80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4.55" customHeight="1">
      <c r="A27" s="5" t="s">
        <v>87</v>
      </c>
      <c r="B27" s="12" cm="1">
        <f t="array" ref="B27">DEGREES(ACOS(1/B25))</f>
        <v>48.189685104221404</v>
      </c>
      <c r="C27" s="7" t="s">
        <v>88</v>
      </c>
      <c r="D27" s="2" t="s">
        <v>89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4.55" customHeight="1">
      <c r="A28" s="5" t="s">
        <v>90</v>
      </c>
      <c r="B28" s="6">
        <v>0.75</v>
      </c>
      <c r="C28" s="7" t="s">
        <v>19</v>
      </c>
      <c r="D28" s="2" t="s">
        <v>91</v>
      </c>
      <c r="E28" s="2" t="s">
        <v>92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4.55" customHeight="1">
      <c r="A29" s="5" t="s">
        <v>93</v>
      </c>
      <c r="B29" s="6">
        <v>0.75</v>
      </c>
      <c r="C29" s="7" t="s">
        <v>19</v>
      </c>
      <c r="D29" s="2" t="s">
        <v>94</v>
      </c>
      <c r="E29" s="2" t="s">
        <v>95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4.55" customHeight="1">
      <c r="A30" s="5" t="s">
        <v>96</v>
      </c>
      <c r="B30" s="6">
        <v>0.45</v>
      </c>
      <c r="C30" s="7" t="s">
        <v>19</v>
      </c>
      <c r="D30" s="2" t="s">
        <v>97</v>
      </c>
      <c r="E30" s="2" t="s">
        <v>95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4.55" customHeight="1">
      <c r="A31" s="5" t="s">
        <v>98</v>
      </c>
      <c r="B31" s="6">
        <v>30</v>
      </c>
      <c r="C31" s="7" t="s">
        <v>85</v>
      </c>
      <c r="D31" s="2" t="s">
        <v>99</v>
      </c>
      <c r="E31" s="2" t="s">
        <v>100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4.55" customHeight="1">
      <c r="A32" s="5" t="s">
        <v>101</v>
      </c>
      <c r="B32" s="6">
        <v>100</v>
      </c>
      <c r="C32" s="7" t="s">
        <v>85</v>
      </c>
      <c r="D32" s="2" t="s">
        <v>102</v>
      </c>
      <c r="E32" s="2" t="s">
        <v>103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4.55" customHeight="1">
      <c r="A33" s="5" t="s">
        <v>104</v>
      </c>
      <c r="B33" s="12" cm="1">
        <f t="array" ref="B33">DEGREES(ATAN(30/100))</f>
        <v>16.699244233993621</v>
      </c>
      <c r="C33" s="7" t="s">
        <v>88</v>
      </c>
      <c r="D33" s="2" t="s">
        <v>105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4.55" customHeight="1">
      <c r="A34" s="5" t="s">
        <v>106</v>
      </c>
      <c r="B34" s="9">
        <v>25</v>
      </c>
      <c r="C34" s="7" t="s">
        <v>85</v>
      </c>
      <c r="D34" s="2" t="s">
        <v>107</v>
      </c>
      <c r="E34" s="2" t="s">
        <v>108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4.55" customHeight="1">
      <c r="A35" s="5" t="s">
        <v>109</v>
      </c>
      <c r="B35" s="6">
        <v>95</v>
      </c>
      <c r="C35" s="7" t="s">
        <v>110</v>
      </c>
      <c r="D35" s="2" t="s">
        <v>111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4.55" customHeight="1">
      <c r="A36" s="5" t="s">
        <v>112</v>
      </c>
      <c r="B36" s="6">
        <v>7.0000000000000007E-2</v>
      </c>
      <c r="C36" s="7" t="s">
        <v>113</v>
      </c>
      <c r="D36" s="2" t="s">
        <v>114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4.55" customHeight="1">
      <c r="A37" s="5" t="s">
        <v>115</v>
      </c>
      <c r="B37" s="6">
        <v>0.8</v>
      </c>
      <c r="C37" s="7" t="s">
        <v>19</v>
      </c>
      <c r="D37" s="2" t="s">
        <v>116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4.55" customHeight="1">
      <c r="A38" s="5" t="s">
        <v>117</v>
      </c>
      <c r="B38" s="15">
        <v>4.45</v>
      </c>
      <c r="C38" s="2" t="s">
        <v>118</v>
      </c>
      <c r="D38" s="2" t="s">
        <v>119</v>
      </c>
      <c r="E38" s="2" t="s">
        <v>120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4.55" customHeight="1">
      <c r="A39" s="5" t="s">
        <v>121</v>
      </c>
      <c r="B39" s="16" cm="1">
        <f t="array" ref="B39">B4*B38</f>
        <v>43.654500000000006</v>
      </c>
      <c r="C39" s="2" t="s">
        <v>122</v>
      </c>
      <c r="D39" s="2" t="s">
        <v>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4.55" customHeight="1">
      <c r="A40" s="5" t="s">
        <v>124</v>
      </c>
      <c r="B40" s="17">
        <f>B39/B35</f>
        <v>0.459521052631579</v>
      </c>
      <c r="C40" s="2" t="s">
        <v>125</v>
      </c>
      <c r="D40" s="2" t="s">
        <v>126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4.55" customHeight="1">
      <c r="A41" s="19" t="s">
        <v>152</v>
      </c>
      <c r="B41" s="18">
        <v>-0.08</v>
      </c>
      <c r="C41" s="2" t="s">
        <v>19</v>
      </c>
      <c r="D41" s="2" t="s">
        <v>127</v>
      </c>
      <c r="E41" s="2" t="s">
        <v>128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4.55" customHeight="1">
      <c r="A42" s="2" t="s">
        <v>129</v>
      </c>
      <c r="B42" s="18">
        <f>B40/(B51-B52)</f>
        <v>0.31800764887998545</v>
      </c>
      <c r="C42" s="4"/>
      <c r="D42" s="2" t="s">
        <v>130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4.55" customHeight="1">
      <c r="A43" s="2" t="s">
        <v>131</v>
      </c>
      <c r="B43" s="18">
        <v>0.25</v>
      </c>
      <c r="C43" s="4"/>
      <c r="D43" s="2" t="s">
        <v>132</v>
      </c>
      <c r="E43" s="2" t="s">
        <v>133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4.55" customHeight="1">
      <c r="A44" s="19" t="s">
        <v>134</v>
      </c>
      <c r="B44" s="18">
        <v>0.7</v>
      </c>
      <c r="C44" s="2" t="s">
        <v>135</v>
      </c>
      <c r="D44" s="2" t="s">
        <v>136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4.55" customHeight="1">
      <c r="A45" s="2" t="s">
        <v>137</v>
      </c>
      <c r="B45" s="18">
        <v>0.3</v>
      </c>
      <c r="C45" s="2" t="s">
        <v>19</v>
      </c>
      <c r="D45" s="2" t="s">
        <v>138</v>
      </c>
      <c r="E45" s="2" t="s">
        <v>139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ht="14.55" customHeight="1">
      <c r="A46" s="2" t="s">
        <v>140</v>
      </c>
      <c r="B46" s="18">
        <v>0.43</v>
      </c>
      <c r="C46" s="2" t="s">
        <v>19</v>
      </c>
      <c r="D46" s="2" t="s">
        <v>141</v>
      </c>
      <c r="E46" s="2" t="s">
        <v>128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ht="14.55" customHeight="1">
      <c r="A47" s="2" t="s">
        <v>142</v>
      </c>
      <c r="B47" s="4">
        <f>SQRT(B54/B48)</f>
        <v>0.19604252053179519</v>
      </c>
      <c r="C47" s="2" t="s">
        <v>85</v>
      </c>
      <c r="D47" s="2" t="s">
        <v>143</v>
      </c>
      <c r="E47" s="2" t="s">
        <v>144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ht="14.55" customHeight="1">
      <c r="A48" s="2" t="s">
        <v>145</v>
      </c>
      <c r="B48" s="18">
        <v>2.75</v>
      </c>
      <c r="C48" s="2" t="s">
        <v>19</v>
      </c>
      <c r="D48" s="2" t="s">
        <v>146</v>
      </c>
      <c r="E48" s="2" t="s">
        <v>147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ht="14.55" customHeight="1">
      <c r="A49" s="20" t="s">
        <v>148</v>
      </c>
      <c r="B49" s="4">
        <v>0.65</v>
      </c>
      <c r="C49" s="20" t="s">
        <v>19</v>
      </c>
      <c r="D49" s="20" t="s">
        <v>149</v>
      </c>
      <c r="E49" s="20" t="s">
        <v>150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ht="14.55" customHeight="1">
      <c r="A50" s="4" t="s">
        <v>153</v>
      </c>
      <c r="B50" s="4">
        <v>0.15</v>
      </c>
      <c r="C50" s="22" t="s">
        <v>154</v>
      </c>
      <c r="D50" s="4" t="s">
        <v>155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ht="14.55" customHeight="1">
      <c r="A51" s="4" t="s">
        <v>156</v>
      </c>
      <c r="B51" s="4">
        <v>1.5</v>
      </c>
      <c r="C51" s="4" t="s">
        <v>85</v>
      </c>
      <c r="D51" s="4" t="s">
        <v>157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ht="14.55" customHeight="1">
      <c r="A52" s="4" t="s">
        <v>159</v>
      </c>
      <c r="B52" s="4">
        <v>5.5E-2</v>
      </c>
      <c r="C52" s="4" t="s">
        <v>85</v>
      </c>
      <c r="D52" s="4" t="s">
        <v>158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ht="14.55" customHeight="1">
      <c r="A53" s="4" t="s">
        <v>160</v>
      </c>
      <c r="B53" s="4">
        <v>0.23</v>
      </c>
      <c r="C53" s="22" t="s">
        <v>154</v>
      </c>
      <c r="D53" s="4" t="s">
        <v>163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ht="14.55" customHeight="1">
      <c r="A54" s="23" t="s">
        <v>162</v>
      </c>
      <c r="B54" s="4">
        <f>B53*B40</f>
        <v>0.10568984210526318</v>
      </c>
      <c r="C54" s="4" t="s">
        <v>125</v>
      </c>
      <c r="D54" s="4" t="s">
        <v>161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ht="14.55" customHeight="1"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5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ht="14.55" customHeight="1">
      <c r="A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ht="14.5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ht="14.5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ht="14.55" customHeight="1">
      <c r="A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ht="14.5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4.5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ht="14.5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ht="14.5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ht="14.5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ht="14.5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ht="14.5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ht="14.5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ht="14.5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ht="14.5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ht="14.5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ht="14.5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ht="14.5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ht="14.5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ht="14.5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ht="14.5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ht="14.5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ht="14.5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ht="14.5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ht="14.5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4.5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ht="14.5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ht="14.5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ht="14.5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ht="14.5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ht="14.5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ht="14.5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ht="14.5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ht="14.5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ht="14.5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ht="14.5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ht="14.5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ht="14.5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ht="14.5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ht="14.5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ht="14.5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ht="14.5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ht="14.5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4.5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ht="14.5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ht="14.5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ht="14.5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ht="14.5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ht="14.5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ht="14.5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ht="14.5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ht="14.5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ht="14.5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ht="14.5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ht="14.5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ht="14.5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ht="14.5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ht="14.5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ht="14.5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ht="14.5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4.5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ht="14.5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ht="14.5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ht="14.5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ht="14.5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ht="14.5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ht="14.5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ht="14.5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ht="14.5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ht="14.5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ht="14.5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ht="14.5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ht="14.5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ht="14.5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2026-09-11T21:52:27Z</dcterms:modified>
</cp:coreProperties>
</file>