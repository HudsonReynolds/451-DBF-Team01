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DA744A0F-D2B6-4787-95B2-423EDC62E8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21" i="1"/>
  <c r="B12" i="1"/>
  <c r="B22" i="1"/>
  <c r="B8" i="1"/>
  <c r="B15" i="1" s="1"/>
  <c r="B16" i="1" s="1"/>
  <c r="B14" i="1" l="1"/>
  <c r="B17" i="1" s="1"/>
</calcChain>
</file>

<file path=xl/sharedStrings.xml><?xml version="1.0" encoding="utf-8"?>
<sst xmlns="http://schemas.openxmlformats.org/spreadsheetml/2006/main" count="103" uniqueCount="83">
  <si>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</si>
  <si>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</si>
  <si>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</si>
  <si>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</si>
  <si>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</si>
  <si>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</si>
  <si>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</si>
  <si>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</si>
  <si>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</si>
  <si>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</si>
  <si>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</si>
  <si>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</si>
  <si>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</si>
  <si>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</si>
  <si>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</si>
  <si>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</si>
  <si>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</si>
  <si>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V_M</t>
  </si>
  <si>
    <t>V_S_M</t>
  </si>
  <si>
    <t>phi_C</t>
  </si>
  <si>
    <t>L_D_climb</t>
  </si>
  <si>
    <t>gamma</t>
  </si>
  <si>
    <t>AR</t>
  </si>
  <si>
    <t>eta_p</t>
  </si>
  <si>
    <t>eta_p_TO</t>
  </si>
  <si>
    <t>CD_0</t>
  </si>
  <si>
    <t>CD</t>
  </si>
  <si>
    <t>CD_G</t>
  </si>
  <si>
    <t>n</t>
  </si>
  <si>
    <t>n_M</t>
  </si>
  <si>
    <t>e</t>
  </si>
  <si>
    <t>bank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</si>
  <si>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</si>
  <si>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</si>
  <si>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</si>
  <si>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</si>
  <si>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</si>
  <si>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</si>
  <si>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</si>
  <si>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</si>
  <si>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</si>
  <si>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</si>
  <si>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</si>
  <si>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</si>
  <si>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</si>
  <si>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</si>
  <si>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</si>
  <si>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</si>
  <si>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</si>
  <si>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</si>
  <si>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</si>
  <si>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</si>
  <si>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</si>
  <si>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</si>
  <si>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</si>
  <si>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</si>
  <si>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</si>
  <si>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</si>
  <si>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</si>
  <si>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</si>
  <si>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</si>
  <si>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</si>
  <si>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</si>
  <si>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</si>
  <si>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Inducer drag factor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</si>
  <si>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</si>
  <si>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</si>
  <si>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</si>
  <si>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</si>
  <si>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</si>
  <si>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</si>
  <si>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</si>
  <si>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</si>
  <si>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</si>
  <si>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</si>
  <si>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Climb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</si>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</sst>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0.000"/>
    <numFmt numFmtId="170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9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40</xdr:row>
      <xdr:rowOff>28575</xdr:rowOff>
    </xdr:from>
    <xdr:to>
      <xdr:col>4</xdr:col>
      <xdr:colOff>414393</xdr:colOff>
      <xdr:row>55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39</xdr:row>
      <xdr:rowOff>131989</xdr:rowOff>
    </xdr:from>
    <xdr:to>
      <xdr:col>13</xdr:col>
      <xdr:colOff>308883</xdr:colOff>
      <xdr:row>53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57</xdr:row>
      <xdr:rowOff>171450</xdr:rowOff>
    </xdr:from>
    <xdr:to>
      <xdr:col>4</xdr:col>
      <xdr:colOff>497417</xdr:colOff>
      <xdr:row>74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593271</xdr:colOff>
      <xdr:row>66</xdr:row>
      <xdr:rowOff>4082</xdr:rowOff>
    </xdr:from>
    <xdr:to>
      <xdr:col>14</xdr:col>
      <xdr:colOff>449036</xdr:colOff>
      <xdr:row>85</xdr:row>
      <xdr:rowOff>86494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38700" y="11815082"/>
          <a:ext cx="4754336" cy="3701912"/>
        </a:xfrm>
        <a:prstGeom prst="rect">
          <a:avLst/>
        </a:prstGeom>
      </xdr:spPr>
    </xdr:pic>
    <xdr:clientData/>
  </xdr:twoCellAnchor>
  <xdr:twoCellAnchor editAs="oneCell">
    <xdr:from>
      <xdr:col>7</xdr:col>
      <xdr:colOff>149678</xdr:colOff>
      <xdr:row>59</xdr:row>
      <xdr:rowOff>176892</xdr:rowOff>
    </xdr:from>
    <xdr:to>
      <xdr:col>14</xdr:col>
      <xdr:colOff>367392</xdr:colOff>
      <xdr:row>65</xdr:row>
      <xdr:rowOff>162870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007428" y="10654392"/>
          <a:ext cx="450396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75</xdr:row>
      <xdr:rowOff>182217</xdr:rowOff>
    </xdr:from>
    <xdr:to>
      <xdr:col>4</xdr:col>
      <xdr:colOff>851355</xdr:colOff>
      <xdr:row>84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87</xdr:row>
      <xdr:rowOff>95250</xdr:rowOff>
    </xdr:from>
    <xdr:to>
      <xdr:col>4</xdr:col>
      <xdr:colOff>1676400</xdr:colOff>
      <xdr:row>90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88</xdr:row>
      <xdr:rowOff>142875</xdr:rowOff>
    </xdr:from>
    <xdr:to>
      <xdr:col>13</xdr:col>
      <xdr:colOff>248180</xdr:colOff>
      <xdr:row>109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zoomScaleNormal="100" workbookViewId="0">
      <selection activeCell="K25" sqref="K25"/>
    </sheetView>
  </sheetViews>
  <sheetFormatPr defaultRowHeight="15" x14ac:dyDescent="0.25"/>
  <cols>
    <col min="1" max="1" width="10.8554687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56</v>
      </c>
      <c r="E1" t="s">
        <v>2</v>
      </c>
      <c r="F1" t="s">
        <v>33</v>
      </c>
    </row>
    <row r="2" spans="1:6" x14ac:dyDescent="0.25">
      <c r="A2" t="s">
        <v>9</v>
      </c>
      <c r="B2">
        <v>1.2250000000000001</v>
      </c>
      <c r="C2" t="s">
        <v>11</v>
      </c>
      <c r="D2" t="s">
        <v>57</v>
      </c>
      <c r="E2" t="s">
        <v>12</v>
      </c>
      <c r="F2" t="s">
        <v>58</v>
      </c>
    </row>
    <row r="3" spans="1:6" x14ac:dyDescent="0.25">
      <c r="A3" t="s">
        <v>10</v>
      </c>
      <c r="B3">
        <v>9.81</v>
      </c>
      <c r="C3" t="s">
        <v>8</v>
      </c>
      <c r="D3" t="s">
        <v>59</v>
      </c>
      <c r="E3" t="s">
        <v>34</v>
      </c>
    </row>
    <row r="4" spans="1:6" x14ac:dyDescent="0.25">
      <c r="A4" t="s">
        <v>13</v>
      </c>
      <c r="B4">
        <v>0.05</v>
      </c>
      <c r="C4" t="s">
        <v>7</v>
      </c>
      <c r="D4" t="s">
        <v>60</v>
      </c>
      <c r="E4" t="s">
        <v>35</v>
      </c>
      <c r="F4" t="s">
        <v>36</v>
      </c>
    </row>
    <row r="5" spans="1:6" x14ac:dyDescent="0.25">
      <c r="A5" t="s">
        <v>14</v>
      </c>
      <c r="B5">
        <v>0.08</v>
      </c>
      <c r="C5" t="s">
        <v>7</v>
      </c>
      <c r="D5" t="s">
        <v>61</v>
      </c>
      <c r="E5" t="s">
        <v>35</v>
      </c>
      <c r="F5" t="s">
        <v>37</v>
      </c>
    </row>
    <row r="6" spans="1:6" x14ac:dyDescent="0.25">
      <c r="A6" t="s">
        <v>30</v>
      </c>
      <c r="B6" s="1">
        <v>0.7</v>
      </c>
      <c r="C6" t="s">
        <v>7</v>
      </c>
      <c r="D6" t="s">
        <v>62</v>
      </c>
      <c r="E6" t="s">
        <v>49</v>
      </c>
    </row>
    <row r="7" spans="1:6" x14ac:dyDescent="0.25">
      <c r="A7" t="s">
        <v>22</v>
      </c>
      <c r="B7" s="1">
        <v>5</v>
      </c>
      <c r="C7" t="s">
        <v>7</v>
      </c>
      <c r="D7" t="s">
        <v>63</v>
      </c>
      <c r="E7" t="s">
        <v>81</v>
      </c>
      <c r="F7" t="s">
        <v>82</v>
      </c>
    </row>
    <row r="8" spans="1:6" x14ac:dyDescent="0.25">
      <c r="A8" t="s">
        <v>38</v>
      </c>
      <c r="B8" s="2">
        <f>1/(PI()*B6*B7)</f>
        <v>9.0945681766797334E-2</v>
      </c>
      <c r="C8" t="s">
        <v>7</v>
      </c>
      <c r="D8" t="s">
        <v>64</v>
      </c>
      <c r="E8" t="s">
        <v>47</v>
      </c>
    </row>
    <row r="9" spans="1:6" x14ac:dyDescent="0.25">
      <c r="A9" t="s">
        <v>41</v>
      </c>
      <c r="B9">
        <v>0.3</v>
      </c>
      <c r="C9" t="s">
        <v>7</v>
      </c>
      <c r="D9" t="s">
        <v>69</v>
      </c>
      <c r="E9" t="s">
        <v>42</v>
      </c>
    </row>
    <row r="10" spans="1:6" x14ac:dyDescent="0.25">
      <c r="A10" t="s">
        <v>3</v>
      </c>
      <c r="B10">
        <v>1.5</v>
      </c>
      <c r="C10" t="s">
        <v>7</v>
      </c>
      <c r="D10" t="s">
        <v>68</v>
      </c>
      <c r="E10" t="s">
        <v>39</v>
      </c>
      <c r="F10" t="s">
        <v>40</v>
      </c>
    </row>
    <row r="11" spans="1:6" x14ac:dyDescent="0.25">
      <c r="A11" t="s">
        <v>48</v>
      </c>
      <c r="B11">
        <f>B9</f>
        <v>0.3</v>
      </c>
      <c r="D11" t="s">
        <v>65</v>
      </c>
      <c r="E11" t="s">
        <v>55</v>
      </c>
      <c r="F11" t="s">
        <v>66</v>
      </c>
    </row>
    <row r="12" spans="1:6" x14ac:dyDescent="0.25">
      <c r="A12" t="s">
        <v>52</v>
      </c>
      <c r="B12" s="1">
        <f>B10/B20^2</f>
        <v>1.2396694214876032</v>
      </c>
      <c r="C12" t="s">
        <v>7</v>
      </c>
      <c r="D12" t="s">
        <v>67</v>
      </c>
      <c r="E12" t="s">
        <v>50</v>
      </c>
      <c r="F12" t="s">
        <v>53</v>
      </c>
    </row>
    <row r="13" spans="1:6" x14ac:dyDescent="0.25">
      <c r="A13" t="s">
        <v>25</v>
      </c>
      <c r="B13" s="2">
        <v>0.04</v>
      </c>
      <c r="C13" t="s">
        <v>7</v>
      </c>
      <c r="D13" t="s">
        <v>70</v>
      </c>
      <c r="E13" t="s">
        <v>32</v>
      </c>
      <c r="F13" t="s">
        <v>44</v>
      </c>
    </row>
    <row r="14" spans="1:6" x14ac:dyDescent="0.25">
      <c r="A14" t="s">
        <v>26</v>
      </c>
      <c r="B14" s="2">
        <f>B13+B8*B9^2</f>
        <v>4.8185111359011761E-2</v>
      </c>
      <c r="C14" t="s">
        <v>7</v>
      </c>
      <c r="D14" t="s">
        <v>71</v>
      </c>
      <c r="E14" t="s">
        <v>46</v>
      </c>
    </row>
    <row r="15" spans="1:6" x14ac:dyDescent="0.25">
      <c r="A15" t="s">
        <v>43</v>
      </c>
      <c r="B15" s="2">
        <f>B13+B8*B11^2</f>
        <v>4.8185111359011761E-2</v>
      </c>
      <c r="C15" t="s">
        <v>7</v>
      </c>
      <c r="D15" t="s">
        <v>72</v>
      </c>
      <c r="E15" t="s">
        <v>54</v>
      </c>
      <c r="F15" t="s">
        <v>66</v>
      </c>
    </row>
    <row r="16" spans="1:6" x14ac:dyDescent="0.25">
      <c r="A16" t="s">
        <v>27</v>
      </c>
      <c r="B16" s="2">
        <f>B15-B4*B11</f>
        <v>3.3185111359011761E-2</v>
      </c>
      <c r="C16" t="s">
        <v>7</v>
      </c>
      <c r="D16" t="s">
        <v>73</v>
      </c>
      <c r="E16" t="s">
        <v>45</v>
      </c>
    </row>
    <row r="17" spans="1:6" x14ac:dyDescent="0.25">
      <c r="A17" t="s">
        <v>4</v>
      </c>
      <c r="B17" s="1">
        <f>B9/B14</f>
        <v>6.2259895544247374</v>
      </c>
      <c r="C17" t="s">
        <v>7</v>
      </c>
      <c r="D17" t="s">
        <v>74</v>
      </c>
    </row>
    <row r="18" spans="1:6" x14ac:dyDescent="0.25">
      <c r="A18" t="s">
        <v>20</v>
      </c>
      <c r="D18" t="s">
        <v>75</v>
      </c>
    </row>
    <row r="19" spans="1:6" x14ac:dyDescent="0.25">
      <c r="A19" t="s">
        <v>5</v>
      </c>
      <c r="B19" s="1">
        <v>10.5</v>
      </c>
      <c r="C19" t="s">
        <v>8</v>
      </c>
      <c r="D19" t="s">
        <v>76</v>
      </c>
    </row>
    <row r="20" spans="1:6" x14ac:dyDescent="0.25">
      <c r="A20" t="s">
        <v>51</v>
      </c>
      <c r="B20" s="3">
        <v>1.1000000000000001</v>
      </c>
      <c r="C20" t="s">
        <v>7</v>
      </c>
      <c r="D20" t="s">
        <v>77</v>
      </c>
      <c r="E20" t="s">
        <v>42</v>
      </c>
    </row>
    <row r="21" spans="1:6" x14ac:dyDescent="0.25">
      <c r="A21" t="s">
        <v>16</v>
      </c>
      <c r="B21" s="1">
        <f>B20*B19</f>
        <v>11.55</v>
      </c>
      <c r="C21" t="s">
        <v>8</v>
      </c>
      <c r="D21" t="s">
        <v>78</v>
      </c>
      <c r="E21" t="s">
        <v>42</v>
      </c>
    </row>
    <row r="22" spans="1:6" x14ac:dyDescent="0.25">
      <c r="A22" t="s">
        <v>15</v>
      </c>
      <c r="B22" s="1">
        <f>SQRT(B19^2*B10/B9)</f>
        <v>23.478713763747791</v>
      </c>
      <c r="C22" t="s">
        <v>8</v>
      </c>
      <c r="D22" t="s">
        <v>79</v>
      </c>
      <c r="F22" t="s">
        <v>80</v>
      </c>
    </row>
    <row r="23" spans="1:6" x14ac:dyDescent="0.25">
      <c r="A23" t="s">
        <v>17</v>
      </c>
    </row>
    <row r="24" spans="1:6" x14ac:dyDescent="0.25">
      <c r="A24" t="s">
        <v>18</v>
      </c>
    </row>
    <row r="25" spans="1:6" x14ac:dyDescent="0.25">
      <c r="A25" t="s">
        <v>19</v>
      </c>
    </row>
    <row r="26" spans="1:6" x14ac:dyDescent="0.25">
      <c r="A26" t="s">
        <v>21</v>
      </c>
    </row>
    <row r="27" spans="1:6" x14ac:dyDescent="0.25">
      <c r="A27" t="s">
        <v>23</v>
      </c>
    </row>
    <row r="28" spans="1:6" x14ac:dyDescent="0.25">
      <c r="A28" t="s">
        <v>24</v>
      </c>
    </row>
    <row r="29" spans="1:6" x14ac:dyDescent="0.25">
      <c r="A29" t="s">
        <v>28</v>
      </c>
    </row>
    <row r="30" spans="1:6" x14ac:dyDescent="0.25">
      <c r="A30" t="s">
        <v>29</v>
      </c>
    </row>
    <row r="34" spans="1:1" x14ac:dyDescent="0.25">
      <c r="A34" t="s">
        <v>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7484-ECD6-4099-B071-A6ABFA09556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2026-08-29T18:36:34Z</dcterms:modified>
</cp:coreProperties>
</file>