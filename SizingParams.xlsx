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INPUTS" sheetId="1" r:id="rId5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<sst xmlns="http://schemas.openxmlformats.org/spreadsheetml/2006/main" uniqueCount="115">
  <si>
    <t>Parameter</t>
  </si>
  <si>
    <t>Value</t>
  </si>
  <si>
    <t>Units</t>
  </si>
  <si>
    <t>Description</t>
  </si>
  <si>
    <t>Source</t>
  </si>
  <si>
    <t>Notes</t>
  </si>
  <si>
    <t>rho</t>
  </si>
  <si>
    <t>kg/m^3</t>
  </si>
  <si>
    <t>Air density</t>
  </si>
  <si>
    <t>Anderson</t>
  </si>
  <si>
    <t>SL air density</t>
  </si>
  <si>
    <t>g</t>
  </si>
  <si>
    <t>m/s</t>
  </si>
  <si>
    <t>Gravitational constant</t>
  </si>
  <si>
    <t>NIST</t>
  </si>
  <si>
    <t>mu_TO</t>
  </si>
  <si>
    <t>-</t>
  </si>
  <si>
    <t>Takeoff friction coeff</t>
  </si>
  <si>
    <t>Gudmundsson, table 18-4</t>
  </si>
  <si>
    <t>Concrete, no brakes</t>
  </si>
  <si>
    <t>mu_L</t>
  </si>
  <si>
    <t>Landing friction coeff</t>
  </si>
  <si>
    <t>Wet grass, no brakes</t>
  </si>
  <si>
    <t>e</t>
  </si>
  <si>
    <t>Oswald span efficiency</t>
  </si>
  <si>
    <t>Sadraey, ch. 4 pg. 122</t>
  </si>
  <si>
    <t>AR</t>
  </si>
  <si>
    <t>Wing aspect ratio</t>
  </si>
  <si>
    <t>Sadraey, table 5.8</t>
  </si>
  <si>
    <t>Home-built/GA</t>
  </si>
  <si>
    <t>K</t>
  </si>
  <si>
    <t>Induced drag factor</t>
  </si>
  <si>
    <t>Sadraey, eqn 4.41</t>
  </si>
  <si>
    <t>CL_C</t>
  </si>
  <si>
    <t>Cruise CL</t>
  </si>
  <si>
    <t>Sadraey, ch. 4 pg. 132</t>
  </si>
  <si>
    <t>CL_max</t>
  </si>
  <si>
    <t>Max CL (at stall)</t>
  </si>
  <si>
    <t>Sadraey, table 4.11</t>
  </si>
  <si>
    <t>Home-built</t>
  </si>
  <si>
    <t>CL_TO</t>
  </si>
  <si>
    <t>Takeoff CL</t>
  </si>
  <si>
    <t>Sadraey, eqn 4.69c</t>
  </si>
  <si>
    <t>Before rotation, no flaps, therefore similar to cruise</t>
  </si>
  <si>
    <t>CL_R</t>
  </si>
  <si>
    <t>Rotation CL</t>
  </si>
  <si>
    <t>Calculated</t>
  </si>
  <si>
    <t>From CL_max and mult_V_TO</t>
  </si>
  <si>
    <t>CD_0</t>
  </si>
  <si>
    <t>Zero lift CD</t>
  </si>
  <si>
    <t>Sadraey, table 4.12</t>
  </si>
  <si>
    <t>Home-built/GA, fixed gear, same for TO (no flaps)</t>
  </si>
  <si>
    <t>CD</t>
  </si>
  <si>
    <t>CD at cruise</t>
  </si>
  <si>
    <t>Sadraey, eqn 4.40</t>
  </si>
  <si>
    <t>CD_TO</t>
  </si>
  <si>
    <t>CD at takeoff</t>
  </si>
  <si>
    <t>Sadraey, eqn 4.68</t>
  </si>
  <si>
    <t>CD_G</t>
  </si>
  <si>
    <t>Ground roll CD</t>
  </si>
  <si>
    <t>Sadraey, eqn 4.67a</t>
  </si>
  <si>
    <t>L_D_max</t>
  </si>
  <si>
    <t>Max lift efficiency</t>
  </si>
  <si>
    <t>Assumed at cruise</t>
  </si>
  <si>
    <t>V_S</t>
  </si>
  <si>
    <t>Stall speed</t>
  </si>
  <si>
    <t>In range from Guimaraes</t>
  </si>
  <si>
    <t>mult_V_TO</t>
  </si>
  <si>
    <t>Takeoff speed multiplier</t>
  </si>
  <si>
    <t>V_TO</t>
  </si>
  <si>
    <t>Takeoff speed</t>
  </si>
  <si>
    <t>V_C</t>
  </si>
  <si>
    <t>Cruise speed</t>
  </si>
  <si>
    <t>From CL_max, V_S, and CL_C</t>
  </si>
  <si>
    <t>V_M</t>
  </si>
  <si>
    <t>Manuever speed</t>
  </si>
  <si>
    <t>V_S_M</t>
  </si>
  <si>
    <t>Manuever stall speed</t>
  </si>
  <si>
    <t>AAE 451, constraints slide 19</t>
  </si>
  <si>
    <t>n</t>
  </si>
  <si>
    <t>Max load factor</t>
  </si>
  <si>
    <t>Sadraey, table 10.9</t>
  </si>
  <si>
    <t>R_M</t>
  </si>
  <si>
    <t>m</t>
  </si>
  <si>
    <t>Turn radius</t>
  </si>
  <si>
    <t>bank_angle</t>
  </si>
  <si>
    <t>deg</t>
  </si>
  <si>
    <t>Bank angle</t>
  </si>
  <si>
    <t>phi_C</t>
  </si>
  <si>
    <t>Cruise throttle</t>
  </si>
  <si>
    <t>Sadraey, ch. 4 pg. 126</t>
  </si>
  <si>
    <t>eta_p</t>
  </si>
  <si>
    <t>Cruise propellor efficiency</t>
  </si>
  <si>
    <t>Gudmundsson, table 3-3</t>
  </si>
  <si>
    <t>eta_p_TO</t>
  </si>
  <si>
    <t>Takeoff propellor efficiency</t>
  </si>
  <si>
    <t>climb_alt</t>
  </si>
  <si>
    <t>Mission altitude</t>
  </si>
  <si>
    <t>Mission requirements</t>
  </si>
  <si>
    <t>climb_dist</t>
  </si>
  <si>
    <t>Distance for climb to alt</t>
  </si>
  <si>
    <t>Estimated from mission flight path</t>
  </si>
  <si>
    <t>gamma</t>
  </si>
  <si>
    <t>Climb angle</t>
  </si>
  <si>
    <t>S_TO</t>
  </si>
  <si>
    <t>Takeoff distance</t>
  </si>
  <si>
    <t>RFP requirements</t>
  </si>
  <si>
    <t>W_S_design</t>
  </si>
  <si>
    <t>N/m^2</t>
  </si>
  <si>
    <t>Wing loading</t>
  </si>
  <si>
    <t>W_P_design</t>
  </si>
  <si>
    <t>N/W</t>
  </si>
  <si>
    <t>Power loading</t>
  </si>
  <si>
    <t>W_e_frac</t>
  </si>
  <si>
    <t>Empty Weight Fraction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</si>
</sst>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0.000"/>
    <numFmt numFmtId="60" formatCode="0.0"/>
  </numFmts>
  <fonts count="5">
    <font>
      <sz val="11"/>
      <color indexed="8"/>
      <name val="Calibri"/>
    </font>
    <font>
      <sz val="12"/>
      <color indexed="8"/>
      <name val="Helvetica Neue"/>
    </font>
    <font>
      <sz val="15"/>
      <color indexed="8"/>
      <name val="Calibri"/>
    </font>
    <font>
      <sz val="11"/>
      <color indexed="12"/>
      <name val="Calibri"/>
    </font>
    <font>
      <b val="1"/>
      <sz val="11"/>
      <color indexed="14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0"/>
      </left>
      <right style="thin">
        <color indexed="10"/>
      </right>
      <top/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16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0" fillId="2" borderId="1" applyNumberFormat="1" applyFont="1" applyFill="1" applyBorder="1" applyAlignment="1" applyProtection="0">
      <alignment vertical="bottom"/>
    </xf>
    <xf numFmtId="49" fontId="0" fillId="2" borderId="2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49" fontId="0" fillId="2" borderId="3" applyNumberFormat="1" applyFont="1" applyFill="1" applyBorder="1" applyAlignment="1" applyProtection="0">
      <alignment vertical="bottom"/>
    </xf>
    <xf numFmtId="0" fontId="3" fillId="3" borderId="4" applyNumberFormat="1" applyFont="1" applyFill="1" applyBorder="1" applyAlignment="1" applyProtection="0">
      <alignment vertical="bottom"/>
    </xf>
    <xf numFmtId="49" fontId="0" fillId="2" borderId="5" applyNumberFormat="1" applyFont="1" applyFill="1" applyBorder="1" applyAlignment="1" applyProtection="0">
      <alignment vertical="bottom"/>
    </xf>
    <xf numFmtId="2" fontId="3" fillId="3" borderId="4" applyNumberFormat="1" applyFont="1" applyFill="1" applyBorder="1" applyAlignment="1" applyProtection="0">
      <alignment vertical="bottom"/>
    </xf>
    <xf numFmtId="59" fontId="4" fillId="4" borderId="4" applyNumberFormat="1" applyFont="1" applyFill="1" applyBorder="1" applyAlignment="1" applyProtection="0">
      <alignment vertical="bottom"/>
    </xf>
    <xf numFmtId="0" fontId="4" fillId="4" borderId="4" applyNumberFormat="1" applyFont="1" applyFill="1" applyBorder="1" applyAlignment="1" applyProtection="0">
      <alignment vertical="bottom"/>
    </xf>
    <xf numFmtId="2" fontId="4" fillId="4" borderId="4" applyNumberFormat="1" applyFont="1" applyFill="1" applyBorder="1" applyAlignment="1" applyProtection="0">
      <alignment vertical="bottom"/>
    </xf>
    <xf numFmtId="59" fontId="3" fillId="3" borderId="4" applyNumberFormat="1" applyFont="1" applyFill="1" applyBorder="1" applyAlignment="1" applyProtection="0">
      <alignment vertical="bottom"/>
    </xf>
    <xf numFmtId="60" fontId="3" fillId="3" borderId="4" applyNumberFormat="1" applyFont="1" applyFill="1" applyBorder="1" applyAlignment="1" applyProtection="0">
      <alignment vertical="bottom"/>
    </xf>
    <xf numFmtId="0" fontId="3" fillId="3" borderId="6" applyNumberFormat="1" applyFont="1" applyFill="1" applyBorder="1" applyAlignment="1" applyProtection="0">
      <alignment vertical="bottom"/>
    </xf>
    <xf numFmtId="0" fontId="0" fillId="2" borderId="7" applyNumberFormat="0" applyFont="1" applyFill="1" applyBorder="1" applyAlignment="1" applyProtection="0">
      <alignment vertical="bottom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7f7f7f"/>
      <rgbColor rgb="ff3f3f76"/>
      <rgbColor rgb="ffffcc99"/>
      <rgbColor rgb="fffa7d00"/>
      <rgbColor rgb="fff2f2f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/Relationships>
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/Relationships>

</file>

<file path=xl/drawings/drawing1.xml><?xml version="1.0" encoding="utf-8"?>
<xdr:wsDr xmlns:r="http://schemas.openxmlformats.org/officeDocument/2006/relationships" xmlns:a="http://schemas.openxmlformats.org/drawingml/2006/main" xmlns:m="http://schemas.openxmlformats.org/officeDocument/2006/math" xmlns:a14="http://schemas.microsoft.com/office/drawing/2010/main" xmlns:xdr="http://schemas.openxmlformats.org/drawingml/2006/spreadsheetDrawing">
  <xdr:twoCellAnchor>
    <xdr:from>
      <xdr:col>0</xdr:col>
      <xdr:colOff>542925</xdr:colOff>
      <xdr:row>42</xdr:row>
      <xdr:rowOff>28572</xdr:rowOff>
    </xdr:from>
    <xdr:to>
      <xdr:col>4</xdr:col>
      <xdr:colOff>353433</xdr:colOff>
      <xdr:row>57</xdr:row>
      <xdr:rowOff>91441</xdr:rowOff>
    </xdr:to>
    <xdr:pic>
      <xdr:nvPicPr>
        <xdr:cNvPr id="2" name="Picture 1" descr="Picture 1"/>
        <xdr:cNvPicPr>
          <a:picLocks noChangeAspect="1"/>
        </xdr:cNvPicPr>
      </xdr:nvPicPr>
      <xdr:blipFill>
        <a:blip r:embed="rId1">
          <a:extLst/>
        </a:blip>
        <a:stretch>
          <a:fillRect/>
        </a:stretch>
      </xdr:blipFill>
      <xdr:spPr>
        <a:xfrm>
          <a:off x="542925" y="7709532"/>
          <a:ext cx="4026909" cy="280607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540205</xdr:colOff>
      <xdr:row>39</xdr:row>
      <xdr:rowOff>131984</xdr:rowOff>
    </xdr:from>
    <xdr:to>
      <xdr:col>13</xdr:col>
      <xdr:colOff>314597</xdr:colOff>
      <xdr:row>53</xdr:row>
      <xdr:rowOff>99025</xdr:rowOff>
    </xdr:to>
    <xdr:pic>
      <xdr:nvPicPr>
        <xdr:cNvPr id="3" name="Picture 2" descr="Picture 2"/>
        <xdr:cNvPicPr>
          <a:picLocks noChangeAspect="1"/>
        </xdr:cNvPicPr>
      </xdr:nvPicPr>
      <xdr:blipFill>
        <a:blip r:embed="rId2">
          <a:extLst/>
        </a:blip>
        <a:stretch>
          <a:fillRect/>
        </a:stretch>
      </xdr:blipFill>
      <xdr:spPr>
        <a:xfrm>
          <a:off x="7398205" y="7264304"/>
          <a:ext cx="4486093" cy="2527362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619125</xdr:colOff>
      <xdr:row>59</xdr:row>
      <xdr:rowOff>171452</xdr:rowOff>
    </xdr:from>
    <xdr:to>
      <xdr:col>4</xdr:col>
      <xdr:colOff>434552</xdr:colOff>
      <xdr:row>76</xdr:row>
      <xdr:rowOff>133356</xdr:rowOff>
    </xdr:to>
    <xdr:pic>
      <xdr:nvPicPr>
        <xdr:cNvPr id="4" name="Picture 3" descr="Picture 3"/>
        <xdr:cNvPicPr>
          <a:picLocks noChangeAspect="1"/>
        </xdr:cNvPicPr>
      </xdr:nvPicPr>
      <xdr:blipFill>
        <a:blip r:embed="rId3">
          <a:extLst/>
        </a:blip>
        <a:stretch>
          <a:fillRect/>
        </a:stretch>
      </xdr:blipFill>
      <xdr:spPr>
        <a:xfrm>
          <a:off x="619125" y="10961372"/>
          <a:ext cx="4031828" cy="307086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297995</xdr:colOff>
      <xdr:row>66</xdr:row>
      <xdr:rowOff>108861</xdr:rowOff>
    </xdr:from>
    <xdr:to>
      <xdr:col>14</xdr:col>
      <xdr:colOff>153761</xdr:colOff>
      <xdr:row>86</xdr:row>
      <xdr:rowOff>778</xdr:rowOff>
    </xdr:to>
    <xdr:pic>
      <xdr:nvPicPr>
        <xdr:cNvPr id="5" name="Picture 4" descr="Picture 4"/>
        <xdr:cNvPicPr>
          <a:picLocks noChangeAspect="1"/>
        </xdr:cNvPicPr>
      </xdr:nvPicPr>
      <xdr:blipFill>
        <a:blip r:embed="rId4">
          <a:extLst/>
        </a:blip>
        <a:stretch>
          <a:fillRect/>
        </a:stretch>
      </xdr:blipFill>
      <xdr:spPr>
        <a:xfrm>
          <a:off x="7155994" y="12178941"/>
          <a:ext cx="5240568" cy="3549518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6</xdr:col>
      <xdr:colOff>254451</xdr:colOff>
      <xdr:row>58</xdr:row>
      <xdr:rowOff>81644</xdr:rowOff>
    </xdr:from>
    <xdr:to>
      <xdr:col>13</xdr:col>
      <xdr:colOff>475977</xdr:colOff>
      <xdr:row>64</xdr:row>
      <xdr:rowOff>60004</xdr:rowOff>
    </xdr:to>
    <xdr:pic>
      <xdr:nvPicPr>
        <xdr:cNvPr id="6" name="Picture 5" descr="Picture 5"/>
        <xdr:cNvPicPr>
          <a:picLocks noChangeAspect="1"/>
        </xdr:cNvPicPr>
      </xdr:nvPicPr>
      <xdr:blipFill>
        <a:blip r:embed="rId5">
          <a:extLst/>
        </a:blip>
        <a:stretch>
          <a:fillRect/>
        </a:stretch>
      </xdr:blipFill>
      <xdr:spPr>
        <a:xfrm>
          <a:off x="7112451" y="10688684"/>
          <a:ext cx="4933227" cy="1075641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77</xdr:row>
      <xdr:rowOff>182223</xdr:rowOff>
    </xdr:from>
    <xdr:to>
      <xdr:col>4</xdr:col>
      <xdr:colOff>780870</xdr:colOff>
      <xdr:row>86</xdr:row>
      <xdr:rowOff>21047</xdr:rowOff>
    </xdr:to>
    <xdr:pic>
      <xdr:nvPicPr>
        <xdr:cNvPr id="7" name="Picture 6" descr="Picture 6"/>
        <xdr:cNvPicPr>
          <a:picLocks noChangeAspect="1"/>
        </xdr:cNvPicPr>
      </xdr:nvPicPr>
      <xdr:blipFill>
        <a:blip r:embed="rId6">
          <a:extLst/>
        </a:blip>
        <a:stretch>
          <a:fillRect/>
        </a:stretch>
      </xdr:blipFill>
      <xdr:spPr>
        <a:xfrm>
          <a:off x="381000" y="14263983"/>
          <a:ext cx="4616271" cy="148474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0</xdr:col>
      <xdr:colOff>381000</xdr:colOff>
      <xdr:row>89</xdr:row>
      <xdr:rowOff>95262</xdr:rowOff>
    </xdr:from>
    <xdr:to>
      <xdr:col>4</xdr:col>
      <xdr:colOff>1619250</xdr:colOff>
      <xdr:row>92</xdr:row>
      <xdr:rowOff>16204</xdr:rowOff>
    </xdr:to>
    <xdr:pic>
      <xdr:nvPicPr>
        <xdr:cNvPr id="8" name="Picture 7" descr="Picture 7"/>
        <xdr:cNvPicPr>
          <a:picLocks noChangeAspect="1"/>
        </xdr:cNvPicPr>
      </xdr:nvPicPr>
      <xdr:blipFill>
        <a:blip r:embed="rId7">
          <a:extLst/>
        </a:blip>
        <a:stretch>
          <a:fillRect/>
        </a:stretch>
      </xdr:blipFill>
      <xdr:spPr>
        <a:xfrm>
          <a:off x="381000" y="16371582"/>
          <a:ext cx="5454650" cy="469583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7</xdr:col>
      <xdr:colOff>104775</xdr:colOff>
      <xdr:row>88</xdr:row>
      <xdr:rowOff>142885</xdr:rowOff>
    </xdr:from>
    <xdr:to>
      <xdr:col>13</xdr:col>
      <xdr:colOff>244370</xdr:colOff>
      <xdr:row>109</xdr:row>
      <xdr:rowOff>53903</xdr:rowOff>
    </xdr:to>
    <xdr:pic>
      <xdr:nvPicPr>
        <xdr:cNvPr id="9" name="Picture 8" descr="Picture 8"/>
        <xdr:cNvPicPr>
          <a:picLocks noChangeAspect="1"/>
        </xdr:cNvPicPr>
      </xdr:nvPicPr>
      <xdr:blipFill>
        <a:blip r:embed="rId8">
          <a:extLst/>
        </a:blip>
        <a:stretch>
          <a:fillRect/>
        </a:stretch>
      </xdr:blipFill>
      <xdr:spPr>
        <a:xfrm>
          <a:off x="7635875" y="16236325"/>
          <a:ext cx="4178196" cy="3751499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0</xdr:colOff>
      <xdr:row>95</xdr:row>
      <xdr:rowOff>13</xdr:rowOff>
    </xdr:from>
    <xdr:to>
      <xdr:col>5</xdr:col>
      <xdr:colOff>57808</xdr:colOff>
      <xdr:row>110</xdr:row>
      <xdr:rowOff>152837</xdr:rowOff>
    </xdr:to>
    <xdr:pic>
      <xdr:nvPicPr>
        <xdr:cNvPr id="10" name="Picture 9" descr="Picture 9"/>
        <xdr:cNvPicPr>
          <a:picLocks noChangeAspect="1"/>
        </xdr:cNvPicPr>
      </xdr:nvPicPr>
      <xdr:blipFill>
        <a:blip r:embed="rId9">
          <a:extLst/>
        </a:blip>
        <a:stretch>
          <a:fillRect/>
        </a:stretch>
      </xdr:blipFill>
      <xdr:spPr>
        <a:xfrm>
          <a:off x="901700" y="17373613"/>
          <a:ext cx="5341009" cy="2896025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1</xdr:col>
      <xdr:colOff>47625</xdr:colOff>
      <xdr:row>112</xdr:row>
      <xdr:rowOff>161942</xdr:rowOff>
    </xdr:from>
    <xdr:to>
      <xdr:col>4</xdr:col>
      <xdr:colOff>1657350</xdr:colOff>
      <xdr:row>127</xdr:row>
      <xdr:rowOff>169725</xdr:rowOff>
    </xdr:to>
    <xdr:pic>
      <xdr:nvPicPr>
        <xdr:cNvPr id="11" name="Picture 10" descr="Picture 10"/>
        <xdr:cNvPicPr>
          <a:picLocks noChangeAspect="1"/>
        </xdr:cNvPicPr>
      </xdr:nvPicPr>
      <xdr:blipFill>
        <a:blip r:embed="rId10">
          <a:extLst/>
        </a:blip>
        <a:stretch>
          <a:fillRect/>
        </a:stretch>
      </xdr:blipFill>
      <xdr:spPr>
        <a:xfrm>
          <a:off x="949325" y="20644502"/>
          <a:ext cx="4924425" cy="2750984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  <xdr:twoCellAnchor>
    <xdr:from>
      <xdr:col>5</xdr:col>
      <xdr:colOff>285750</xdr:colOff>
      <xdr:row>115</xdr:row>
      <xdr:rowOff>57167</xdr:rowOff>
    </xdr:from>
    <xdr:to>
      <xdr:col>16</xdr:col>
      <xdr:colOff>15239</xdr:colOff>
      <xdr:row>121</xdr:row>
      <xdr:rowOff>135756</xdr:rowOff>
    </xdr:to>
    <xdr:pic>
      <xdr:nvPicPr>
        <xdr:cNvPr id="12" name="Picture 11" descr="Picture 11"/>
        <xdr:cNvPicPr>
          <a:picLocks noChangeAspect="1"/>
        </xdr:cNvPicPr>
      </xdr:nvPicPr>
      <xdr:blipFill>
        <a:blip r:embed="rId11">
          <a:extLst/>
        </a:blip>
        <a:stretch>
          <a:fillRect/>
        </a:stretch>
      </xdr:blipFill>
      <xdr:spPr>
        <a:xfrm>
          <a:off x="6470650" y="21088367"/>
          <a:ext cx="7133590" cy="1175870"/>
        </a:xfrm>
        <a:prstGeom prst="rect">
          <a:avLst/>
        </a:prstGeom>
        <a:ln w="12700" cap="flat">
          <a:noFill/>
          <a:miter lim="400000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:r="http://schemas.openxmlformats.org/officeDocument/2006/relationships" xmlns="http://schemas.openxmlformats.org/spreadsheetml/2006/main">
  <dimension ref="A1:Q128"/>
  <sheetViews>
    <sheetView workbookViewId="0" showGridLines="0" defaultGridColor="1"/>
  </sheetViews>
  <sheetFormatPr defaultColWidth="8.83333" defaultRowHeight="14.4" customHeight="1" outlineLevelRow="0" outlineLevelCol="0"/>
  <cols>
    <col min="1" max="1" width="11.8516" style="1" customWidth="1"/>
    <col min="2" max="3" width="8.85156" style="1" customWidth="1"/>
    <col min="4" max="5" width="25.8516" style="1" customWidth="1"/>
    <col min="6" max="17" width="8.85156" style="1" customWidth="1"/>
    <col min="18" max="16384" width="8.85156" style="1" customWidth="1"/>
  </cols>
  <sheetData>
    <row r="1" ht="14.4" customHeight="1">
      <c r="A1" t="s" s="2">
        <v>0</v>
      </c>
      <c r="B1" t="s" s="3">
        <v>1</v>
      </c>
      <c r="C1" t="s" s="2">
        <v>2</v>
      </c>
      <c r="D1" t="s" s="2">
        <v>3</v>
      </c>
      <c r="E1" t="s" s="2">
        <v>4</v>
      </c>
      <c r="F1" t="s" s="2">
        <v>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ht="14.4" customHeight="1">
      <c r="A2" t="s" s="5">
        <v>6</v>
      </c>
      <c r="B2" s="6">
        <v>1.225</v>
      </c>
      <c r="C2" t="s" s="7">
        <v>7</v>
      </c>
      <c r="D2" t="s" s="2">
        <v>8</v>
      </c>
      <c r="E2" t="s" s="2">
        <v>9</v>
      </c>
      <c r="F2" t="s" s="2">
        <v>10</v>
      </c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ht="14.4" customHeight="1">
      <c r="A3" t="s" s="5">
        <v>11</v>
      </c>
      <c r="B3" s="6">
        <v>9.81</v>
      </c>
      <c r="C3" t="s" s="7">
        <v>12</v>
      </c>
      <c r="D3" t="s" s="2">
        <v>13</v>
      </c>
      <c r="E3" t="s" s="2">
        <v>14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4.4" customHeight="1">
      <c r="A4" t="s" s="5">
        <v>15</v>
      </c>
      <c r="B4" s="6">
        <v>0.05</v>
      </c>
      <c r="C4" t="s" s="7">
        <v>16</v>
      </c>
      <c r="D4" t="s" s="2">
        <v>17</v>
      </c>
      <c r="E4" t="s" s="2">
        <v>18</v>
      </c>
      <c r="F4" t="s" s="2">
        <v>19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ht="14.4" customHeight="1">
      <c r="A5" t="s" s="5">
        <v>20</v>
      </c>
      <c r="B5" s="6">
        <v>0.08</v>
      </c>
      <c r="C5" t="s" s="7">
        <v>16</v>
      </c>
      <c r="D5" t="s" s="2">
        <v>21</v>
      </c>
      <c r="E5" t="s" s="2">
        <v>18</v>
      </c>
      <c r="F5" t="s" s="2">
        <v>22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ht="14.4" customHeight="1">
      <c r="A6" t="s" s="5">
        <v>23</v>
      </c>
      <c r="B6" s="8">
        <v>0.7</v>
      </c>
      <c r="C6" t="s" s="7">
        <v>16</v>
      </c>
      <c r="D6" t="s" s="2">
        <v>24</v>
      </c>
      <c r="E6" t="s" s="2">
        <v>25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ht="14.4" customHeight="1">
      <c r="A7" t="s" s="5">
        <v>26</v>
      </c>
      <c r="B7" s="8">
        <v>5</v>
      </c>
      <c r="C7" t="s" s="7">
        <v>16</v>
      </c>
      <c r="D7" t="s" s="2">
        <v>27</v>
      </c>
      <c r="E7" t="s" s="2">
        <v>28</v>
      </c>
      <c r="F7" t="s" s="2">
        <v>29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ht="14.4" customHeight="1">
      <c r="A8" t="s" s="5">
        <v>30</v>
      </c>
      <c r="B8" s="9" cm="1">
        <f t="array" ref="B8">1/(PI()*B6*B7)</f>
        <v>0.09094568176679731</v>
      </c>
      <c r="C8" t="s" s="7">
        <v>16</v>
      </c>
      <c r="D8" t="s" s="2">
        <v>31</v>
      </c>
      <c r="E8" t="s" s="2">
        <v>32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ht="14.4" customHeight="1">
      <c r="A9" t="s" s="5">
        <v>33</v>
      </c>
      <c r="B9" s="6">
        <v>0.3</v>
      </c>
      <c r="C9" t="s" s="7">
        <v>16</v>
      </c>
      <c r="D9" t="s" s="2">
        <v>34</v>
      </c>
      <c r="E9" t="s" s="2">
        <v>35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ht="14.4" customHeight="1">
      <c r="A10" t="s" s="5">
        <v>36</v>
      </c>
      <c r="B10" s="6">
        <v>1.5</v>
      </c>
      <c r="C10" t="s" s="7">
        <v>16</v>
      </c>
      <c r="D10" t="s" s="2">
        <v>37</v>
      </c>
      <c r="E10" t="s" s="2">
        <v>38</v>
      </c>
      <c r="F10" t="s" s="2">
        <v>39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ht="14.4" customHeight="1">
      <c r="A11" t="s" s="5">
        <v>40</v>
      </c>
      <c r="B11" s="10" cm="1">
        <f t="array" ref="B11">B9</f>
        <v>0.3</v>
      </c>
      <c r="C11" t="s" s="7">
        <v>16</v>
      </c>
      <c r="D11" t="s" s="2">
        <v>41</v>
      </c>
      <c r="E11" t="s" s="2">
        <v>42</v>
      </c>
      <c r="F11" t="s" s="2">
        <v>43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ht="14.4" customHeight="1">
      <c r="A12" t="s" s="5">
        <v>44</v>
      </c>
      <c r="B12" s="11" cm="1">
        <f t="array" ref="B12">B10/B19^2</f>
        <v>1.2396694214876</v>
      </c>
      <c r="C12" t="s" s="7">
        <v>16</v>
      </c>
      <c r="D12" t="s" s="2">
        <v>45</v>
      </c>
      <c r="E12" t="s" s="2">
        <v>46</v>
      </c>
      <c r="F12" t="s" s="2">
        <v>47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ht="14.4" customHeight="1">
      <c r="A13" t="s" s="5">
        <v>48</v>
      </c>
      <c r="B13" s="12">
        <v>0.04</v>
      </c>
      <c r="C13" t="s" s="7">
        <v>16</v>
      </c>
      <c r="D13" t="s" s="2">
        <v>49</v>
      </c>
      <c r="E13" t="s" s="2">
        <v>50</v>
      </c>
      <c r="F13" t="s" s="2">
        <v>51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ht="14.4" customHeight="1">
      <c r="A14" t="s" s="5">
        <v>52</v>
      </c>
      <c r="B14" s="9" cm="1">
        <f t="array" ref="B14">B13+B8*B9^2</f>
        <v>0.0481851113590118</v>
      </c>
      <c r="C14" t="s" s="7">
        <v>16</v>
      </c>
      <c r="D14" t="s" s="2">
        <v>53</v>
      </c>
      <c r="E14" t="s" s="2">
        <v>54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ht="14.4" customHeight="1">
      <c r="A15" t="s" s="5">
        <v>55</v>
      </c>
      <c r="B15" s="9" cm="1">
        <f t="array" ref="B15">B13+B8*B11^2</f>
        <v>0.0481851113590118</v>
      </c>
      <c r="C15" t="s" s="7">
        <v>16</v>
      </c>
      <c r="D15" t="s" s="2">
        <v>56</v>
      </c>
      <c r="E15" t="s" s="2">
        <v>57</v>
      </c>
      <c r="F15" t="s" s="2">
        <v>43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ht="14.4" customHeight="1">
      <c r="A16" t="s" s="5">
        <v>58</v>
      </c>
      <c r="B16" s="9" cm="1">
        <f t="array" ref="B16">B15-B4*B11</f>
        <v>0.0331851113590118</v>
      </c>
      <c r="C16" t="s" s="7">
        <v>16</v>
      </c>
      <c r="D16" t="s" s="2">
        <v>59</v>
      </c>
      <c r="E16" t="s" s="2">
        <v>60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ht="14.4" customHeight="1">
      <c r="A17" t="s" s="5">
        <v>61</v>
      </c>
      <c r="B17" s="11" cm="1">
        <f t="array" ref="B17">B9/B14</f>
        <v>6.22598955442473</v>
      </c>
      <c r="C17" t="s" s="7">
        <v>16</v>
      </c>
      <c r="D17" t="s" s="2">
        <v>62</v>
      </c>
      <c r="E17" s="4"/>
      <c r="F17" t="s" s="2">
        <v>63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ht="14.4" customHeight="1">
      <c r="A18" t="s" s="5">
        <v>64</v>
      </c>
      <c r="B18" s="8">
        <v>10.5</v>
      </c>
      <c r="C18" t="s" s="7">
        <v>12</v>
      </c>
      <c r="D18" t="s" s="2">
        <v>65</v>
      </c>
      <c r="E18" t="s" s="2">
        <v>66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ht="14.4" customHeight="1">
      <c r="A19" t="s" s="5">
        <v>67</v>
      </c>
      <c r="B19" s="13">
        <v>1.1</v>
      </c>
      <c r="C19" t="s" s="7">
        <v>16</v>
      </c>
      <c r="D19" t="s" s="2">
        <v>68</v>
      </c>
      <c r="E19" t="s" s="2">
        <v>35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ht="14.4" customHeight="1">
      <c r="A20" t="s" s="5">
        <v>69</v>
      </c>
      <c r="B20" s="11" cm="1">
        <f t="array" ref="B20">B19*B18</f>
        <v>11.55</v>
      </c>
      <c r="C20" t="s" s="7">
        <v>12</v>
      </c>
      <c r="D20" t="s" s="2">
        <v>70</v>
      </c>
      <c r="E20" t="s" s="2">
        <v>35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ht="14.4" customHeight="1">
      <c r="A21" t="s" s="5">
        <v>71</v>
      </c>
      <c r="B21" s="11" cm="1">
        <f t="array" ref="B21">SQRT(B18^2*B10/B9)</f>
        <v>23.4787137637478</v>
      </c>
      <c r="C21" t="s" s="7">
        <v>12</v>
      </c>
      <c r="D21" t="s" s="2">
        <v>72</v>
      </c>
      <c r="E21" s="4"/>
      <c r="F21" t="s" s="2">
        <v>73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ht="14.4" customHeight="1">
      <c r="A22" t="s" s="5">
        <v>74</v>
      </c>
      <c r="B22" s="11" cm="1">
        <f t="array" ref="B22">SQRT(B25*B3*SQRT(B24^2-1))</f>
        <v>14.8107484143351</v>
      </c>
      <c r="C22" t="s" s="7">
        <v>12</v>
      </c>
      <c r="D22" t="s" s="2">
        <v>75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ht="14.4" customHeight="1">
      <c r="A23" t="s" s="5">
        <v>76</v>
      </c>
      <c r="B23" s="11" cm="1">
        <f t="array" ref="B23">B18*SQRT(B24)</f>
        <v>12.8598211496117</v>
      </c>
      <c r="C23" t="s" s="7">
        <v>12</v>
      </c>
      <c r="D23" t="s" s="2">
        <v>77</v>
      </c>
      <c r="E23" t="s" s="2">
        <v>78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ht="14.4" customHeight="1">
      <c r="A24" t="s" s="5">
        <v>79</v>
      </c>
      <c r="B24" s="6">
        <v>1.5</v>
      </c>
      <c r="C24" t="s" s="7">
        <v>16</v>
      </c>
      <c r="D24" t="s" s="2">
        <v>80</v>
      </c>
      <c r="E24" t="s" s="2">
        <v>81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ht="14.4" customHeight="1">
      <c r="A25" t="s" s="5">
        <v>82</v>
      </c>
      <c r="B25" s="6">
        <v>20</v>
      </c>
      <c r="C25" t="s" s="7">
        <v>83</v>
      </c>
      <c r="D25" t="s" s="2">
        <v>84</v>
      </c>
      <c r="E25" t="s" s="2">
        <v>78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ht="14.4" customHeight="1">
      <c r="A26" t="s" s="5">
        <v>85</v>
      </c>
      <c r="B26" s="11" cm="1">
        <f t="array" ref="B26">DEGREES(ACOS(1/B24))</f>
        <v>48.1896851042214</v>
      </c>
      <c r="C26" t="s" s="7">
        <v>86</v>
      </c>
      <c r="D26" t="s" s="2">
        <v>87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ht="14.4" customHeight="1">
      <c r="A27" t="s" s="5">
        <v>88</v>
      </c>
      <c r="B27" s="6">
        <v>0.75</v>
      </c>
      <c r="C27" t="s" s="7">
        <v>16</v>
      </c>
      <c r="D27" t="s" s="2">
        <v>89</v>
      </c>
      <c r="E27" t="s" s="2">
        <v>90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ht="14.4" customHeight="1">
      <c r="A28" t="s" s="5">
        <v>91</v>
      </c>
      <c r="B28" s="6">
        <v>0.75</v>
      </c>
      <c r="C28" t="s" s="7">
        <v>16</v>
      </c>
      <c r="D28" t="s" s="2">
        <v>92</v>
      </c>
      <c r="E28" t="s" s="2">
        <v>93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ht="14.4" customHeight="1">
      <c r="A29" t="s" s="5">
        <v>94</v>
      </c>
      <c r="B29" s="6">
        <v>0.45</v>
      </c>
      <c r="C29" t="s" s="7">
        <v>16</v>
      </c>
      <c r="D29" t="s" s="2">
        <v>95</v>
      </c>
      <c r="E29" t="s" s="2">
        <v>93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ht="14.4" customHeight="1">
      <c r="A30" t="s" s="5">
        <v>96</v>
      </c>
      <c r="B30" s="6">
        <v>30</v>
      </c>
      <c r="C30" t="s" s="7">
        <v>83</v>
      </c>
      <c r="D30" t="s" s="2">
        <v>97</v>
      </c>
      <c r="E30" t="s" s="2">
        <v>98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ht="14.4" customHeight="1">
      <c r="A31" t="s" s="5">
        <v>99</v>
      </c>
      <c r="B31" s="6">
        <v>100</v>
      </c>
      <c r="C31" t="s" s="7">
        <v>83</v>
      </c>
      <c r="D31" t="s" s="2">
        <v>100</v>
      </c>
      <c r="E31" t="s" s="2">
        <v>101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ht="14.4" customHeight="1">
      <c r="A32" t="s" s="5">
        <v>102</v>
      </c>
      <c r="B32" s="11" cm="1">
        <f t="array" ref="B32">DEGREES(ATAN(30/100))</f>
        <v>16.6992442339936</v>
      </c>
      <c r="C32" t="s" s="7">
        <v>86</v>
      </c>
      <c r="D32" t="s" s="2">
        <v>103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ht="14.4" customHeight="1">
      <c r="A33" t="s" s="5">
        <v>104</v>
      </c>
      <c r="B33" s="8">
        <v>25</v>
      </c>
      <c r="C33" t="s" s="7">
        <v>83</v>
      </c>
      <c r="D33" t="s" s="2">
        <v>105</v>
      </c>
      <c r="E33" t="s" s="2">
        <v>106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ht="14.4" customHeight="1">
      <c r="A34" t="s" s="5">
        <v>107</v>
      </c>
      <c r="B34" s="6">
        <v>100</v>
      </c>
      <c r="C34" t="s" s="7">
        <v>108</v>
      </c>
      <c r="D34" t="s" s="2">
        <v>109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ht="14.4" customHeight="1">
      <c r="A35" t="s" s="5">
        <v>110</v>
      </c>
      <c r="B35" s="6">
        <v>0.07000000000000001</v>
      </c>
      <c r="C35" t="s" s="7">
        <v>111</v>
      </c>
      <c r="D35" t="s" s="2">
        <v>112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ht="14.4" customHeight="1">
      <c r="A36" t="s" s="5">
        <v>113</v>
      </c>
      <c r="B36" s="14">
        <v>0.8</v>
      </c>
      <c r="C36" t="s" s="7">
        <v>16</v>
      </c>
      <c r="D36" t="s" s="2">
        <v>114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ht="14.4" customHeight="1">
      <c r="A37" s="4"/>
      <c r="B37" s="15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ht="14.4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ht="14.4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ht="14.4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ht="14.4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ht="14.4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ht="14.4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ht="14.4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ht="14.4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ht="14.4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ht="14.4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ht="14.4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ht="14.4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ht="14.4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ht="14.4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ht="14.4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ht="14.4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ht="14.4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ht="14.4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ht="14.4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ht="14.4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ht="14.4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ht="14.4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ht="14.4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ht="14.4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ht="14.4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ht="14.4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ht="14.4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ht="14.4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ht="14.4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ht="14.4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ht="14.4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ht="14.4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ht="14.4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ht="14.4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ht="14.4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ht="14.4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ht="14.4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ht="14.4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ht="14.4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ht="14.4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ht="14.4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ht="14.4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ht="14.4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ht="14.4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ht="14.4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ht="14.4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ht="14.4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ht="14.4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ht="14.4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ht="14.4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ht="14.4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ht="14.4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ht="14.4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ht="14.4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ht="14.4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ht="14.4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ht="14.4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ht="14.4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ht="14.4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ht="14.4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ht="14.4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ht="14.4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ht="14.4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ht="14.4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ht="14.4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ht="14.4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ht="14.4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ht="14.4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ht="14.4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ht="14.4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ht="14.4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ht="14.4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ht="14.4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ht="14.4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ht="14.4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ht="14.4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ht="14.4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ht="14.4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ht="14.4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ht="14.4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ht="14.4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ht="14.4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ht="14.4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ht="14.4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ht="14.4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ht="14.4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ht="14.4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ht="14.4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ht="14.4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ht="14.4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ht="14.4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</sheetData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