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90B08173-8C90-4B7D-84C9-ACB9FBB4E1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32" i="1"/>
  <c r="B26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<sst xmlns="http://schemas.openxmlformats.org/spreadsheetml/2006/main" count="146" uniqueCount="113">
  <si>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</si>
  <si>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</si>
  <si>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</si>
  <si>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</si>
  <si>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</si>
  <si>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</si>
  <si>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</si>
  <si>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</si>
  <si>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</si>
  <si>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</si>
  <si>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</si>
  <si>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</si>
  <si>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</si>
  <si>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</si>
  <si>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</si>
  <si>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</si>
  <si>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</si>
  <si>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</si>
  <si>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</si>
  <si>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</si>
  <si>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</si>
  <si>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</si>
  <si>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</si>
  <si>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</si>
  <si>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</si>
  <si>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</si>
  <si>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</si>
  <si>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</si>
  <si>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</si>
  <si>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</si>
  <si>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</si>
  <si>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</si>
  <si>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</si>
  <si>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</si>
  <si>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</si>
  <si>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</si>
  <si>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</si>
  <si>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</si>
  <si>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</si>
  <si>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</si>
  <si>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</si>
  <si>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</si>
  <si>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</si>
  <si>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</si>
  <si>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</si>
  <si>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</si>
  <si>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</si>
  <si>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</si>
  <si>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</si>
  <si>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</si>
  <si>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</si>
  <si>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</si>
  <si>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</si>
  <si>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</si>
  <si>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</si>
  <si>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</si>
  <si>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</si>
  <si>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</si>
  <si>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</si>
  <si>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</si>
  <si>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</si>
  <si>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</si>
  <si>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</si>
  <si>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</si>
  <si>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</si>
  <si>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</si>
  <si>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</si>
  <si>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</si>
  <si>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</si>
  <si>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</si>
  <si>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</si>
  <si>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</si>
  <si>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</si>
  <si>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</si>
  <si>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</si>
  <si>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</si>
  <si>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</si>
  <si>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</si>
  <si>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</si>
  <si>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</si>
  <si>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</si>
  <si>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</si>
  <si>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</si>
  <si>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</si>
  <si>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</si>
  <si>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</si>
  <si>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</si>
  <si>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</si>
  <si>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</si>
  <si>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</si>
  <si>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</si>
  <si>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</si>
  <si>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</si>
  <si>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</si>
  <si>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</si>
  <si>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</si>
  <si>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</si>
  <si>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</si>
  <si>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</si>
  <si>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</si>
  <si>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</si>
  <si>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</si>
  <si>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</si>
  <si>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</si>
  <si>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</si>
  <si>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</si>
  <si>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</si>
  <si>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</si>
  <si>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</si>
  <si>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</si>
  <si>
    <t>R_M</t>
  </si>
  <si>
    <t>Turn radius</t>
  </si>
  <si>
    <t>Induced drag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</si>
</sst>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42</xdr:row>
      <xdr:rowOff>28575</xdr:rowOff>
    </xdr:from>
    <xdr:to>
      <xdr:col>4</xdr:col>
      <xdr:colOff>347718</xdr:colOff>
      <xdr:row>57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59</xdr:row>
      <xdr:rowOff>171450</xdr:rowOff>
    </xdr:from>
    <xdr:to>
      <xdr:col>4</xdr:col>
      <xdr:colOff>430742</xdr:colOff>
      <xdr:row>76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472167</xdr:colOff>
      <xdr:row>64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77</xdr:row>
      <xdr:rowOff>182217</xdr:rowOff>
    </xdr:from>
    <xdr:to>
      <xdr:col>4</xdr:col>
      <xdr:colOff>784680</xdr:colOff>
      <xdr:row>86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89</xdr:row>
      <xdr:rowOff>95250</xdr:rowOff>
    </xdr:from>
    <xdr:to>
      <xdr:col>4</xdr:col>
      <xdr:colOff>1609725</xdr:colOff>
      <xdr:row>92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5</xdr:col>
      <xdr:colOff>48283</xdr:colOff>
      <xdr:row>110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112</xdr:row>
      <xdr:rowOff>161925</xdr:rowOff>
    </xdr:from>
    <xdr:to>
      <xdr:col>4</xdr:col>
      <xdr:colOff>1647825</xdr:colOff>
      <xdr:row>127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115</xdr:row>
      <xdr:rowOff>57150</xdr:rowOff>
    </xdr:from>
    <xdr:to>
      <xdr:col>16</xdr:col>
      <xdr:colOff>19050</xdr:colOff>
      <xdr:row>121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tabSelected="1" topLeftCell="A16" zoomScale="145" zoomScaleNormal="145" workbookViewId="0">
      <selection activeCell="B35" sqref="B35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75</v>
      </c>
      <c r="F7" t="s">
        <v>76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112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64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63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C11" t="s">
        <v>7</v>
      </c>
      <c r="D11" t="s">
        <v>60</v>
      </c>
      <c r="E11" t="s">
        <v>51</v>
      </c>
      <c r="F11" t="s">
        <v>61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62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65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66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67</v>
      </c>
      <c r="E15" t="s">
        <v>50</v>
      </c>
      <c r="F15" t="s">
        <v>61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68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69</v>
      </c>
      <c r="F17" t="s">
        <v>102</v>
      </c>
    </row>
    <row r="18" spans="1:6" x14ac:dyDescent="0.25">
      <c r="A18" t="s">
        <v>5</v>
      </c>
      <c r="B18" s="2">
        <v>10.5</v>
      </c>
      <c r="C18" t="s">
        <v>8</v>
      </c>
      <c r="D18" t="s">
        <v>70</v>
      </c>
      <c r="E18" t="s">
        <v>90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71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72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73</v>
      </c>
      <c r="F21" t="s">
        <v>74</v>
      </c>
    </row>
    <row r="22" spans="1:6" x14ac:dyDescent="0.25">
      <c r="A22" t="s">
        <v>105</v>
      </c>
      <c r="B22" s="6">
        <f>SQRT(B25*B3*SQRT(B24^2-1))</f>
        <v>14.810748414335091</v>
      </c>
      <c r="C22" t="s">
        <v>8</v>
      </c>
      <c r="D22" t="s">
        <v>106</v>
      </c>
    </row>
    <row r="23" spans="1:6" x14ac:dyDescent="0.25">
      <c r="A23" t="s">
        <v>17</v>
      </c>
      <c r="B23" s="6">
        <f>B18*SQRT(B24)</f>
        <v>12.859821149611683</v>
      </c>
      <c r="C23" t="s">
        <v>8</v>
      </c>
      <c r="D23" t="s">
        <v>79</v>
      </c>
      <c r="E23" t="s">
        <v>81</v>
      </c>
    </row>
    <row r="24" spans="1:6" x14ac:dyDescent="0.25">
      <c r="A24" t="s">
        <v>26</v>
      </c>
      <c r="B24" s="1">
        <v>1.5</v>
      </c>
      <c r="C24" t="s">
        <v>7</v>
      </c>
      <c r="D24" t="s">
        <v>77</v>
      </c>
      <c r="E24" t="s">
        <v>78</v>
      </c>
    </row>
    <row r="25" spans="1:6" x14ac:dyDescent="0.25">
      <c r="A25" t="s">
        <v>110</v>
      </c>
      <c r="B25" s="1">
        <v>20</v>
      </c>
      <c r="C25" t="s">
        <v>93</v>
      </c>
      <c r="D25" t="s">
        <v>111</v>
      </c>
      <c r="E25" t="s">
        <v>81</v>
      </c>
    </row>
    <row r="26" spans="1:6" x14ac:dyDescent="0.25">
      <c r="A26" t="s">
        <v>80</v>
      </c>
      <c r="B26" s="6">
        <f>DEGREES(ACOS(1/B24))</f>
        <v>48.189685104221404</v>
      </c>
      <c r="C26" t="s">
        <v>84</v>
      </c>
      <c r="D26" t="s">
        <v>89</v>
      </c>
    </row>
    <row r="27" spans="1:6" x14ac:dyDescent="0.25">
      <c r="A27" t="s">
        <v>18</v>
      </c>
      <c r="B27" s="1">
        <v>0.75</v>
      </c>
      <c r="C27" t="s">
        <v>7</v>
      </c>
      <c r="D27" t="s">
        <v>82</v>
      </c>
      <c r="E27" t="s">
        <v>88</v>
      </c>
    </row>
    <row r="28" spans="1:6" x14ac:dyDescent="0.25">
      <c r="A28" t="s">
        <v>21</v>
      </c>
      <c r="B28" s="1">
        <v>0.75</v>
      </c>
      <c r="C28" t="s">
        <v>7</v>
      </c>
      <c r="D28" t="s">
        <v>85</v>
      </c>
      <c r="E28" t="s">
        <v>87</v>
      </c>
    </row>
    <row r="29" spans="1:6" x14ac:dyDescent="0.25">
      <c r="A29" t="s">
        <v>22</v>
      </c>
      <c r="B29" s="1">
        <v>0.45</v>
      </c>
      <c r="C29" t="s">
        <v>7</v>
      </c>
      <c r="D29" t="s">
        <v>86</v>
      </c>
      <c r="E29" t="s">
        <v>87</v>
      </c>
    </row>
    <row r="30" spans="1:6" x14ac:dyDescent="0.25">
      <c r="A30" t="s">
        <v>91</v>
      </c>
      <c r="B30" s="1">
        <v>30</v>
      </c>
      <c r="C30" t="s">
        <v>93</v>
      </c>
      <c r="D30" t="s">
        <v>94</v>
      </c>
      <c r="E30" t="s">
        <v>97</v>
      </c>
    </row>
    <row r="31" spans="1:6" x14ac:dyDescent="0.25">
      <c r="A31" t="s">
        <v>92</v>
      </c>
      <c r="B31" s="8">
        <v>100</v>
      </c>
      <c r="C31" t="s">
        <v>93</v>
      </c>
      <c r="D31" t="s">
        <v>95</v>
      </c>
      <c r="E31" t="s">
        <v>96</v>
      </c>
    </row>
    <row r="32" spans="1:6" x14ac:dyDescent="0.25">
      <c r="A32" t="s">
        <v>19</v>
      </c>
      <c r="B32" s="6">
        <f>DEGREES(ATAN(30/100))</f>
        <v>16.699244233993621</v>
      </c>
      <c r="C32" t="s">
        <v>84</v>
      </c>
      <c r="D32" t="s">
        <v>83</v>
      </c>
    </row>
    <row r="33" spans="1:5" x14ac:dyDescent="0.25">
      <c r="A33" t="s">
        <v>107</v>
      </c>
      <c r="B33" s="2">
        <v>25</v>
      </c>
      <c r="C33" t="s">
        <v>93</v>
      </c>
      <c r="D33" t="s">
        <v>108</v>
      </c>
      <c r="E33" t="s">
        <v>109</v>
      </c>
    </row>
    <row r="34" spans="1:5" x14ac:dyDescent="0.25">
      <c r="A34" t="s">
        <v>103</v>
      </c>
      <c r="B34" s="8">
        <v>100</v>
      </c>
      <c r="C34" t="s">
        <v>101</v>
      </c>
      <c r="D34" t="s">
        <v>98</v>
      </c>
    </row>
    <row r="35" spans="1:5" x14ac:dyDescent="0.25">
      <c r="A35" t="s">
        <v>104</v>
      </c>
      <c r="B35" s="1">
        <v>7.4999999999999997E-2</v>
      </c>
      <c r="C35" t="s">
        <v>100</v>
      </c>
      <c r="D35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2026-08-31T00:50:21Z</dcterms:modified>
</cp:coreProperties>
</file>