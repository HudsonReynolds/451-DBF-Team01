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dre\Desktop\Fall 2026\AAE 451\451-DBF-Team01\"/>
    </mc:Choice>
  </mc:AlternateContent>
  <xr:revisionPtr revIDLastSave="0" documentId="13_ncr:1_{D321C07E-B7CE-43E4-8A83-32A447DA30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INPU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1" l="1"/>
  <c r="C64" i="1" l="1"/>
  <c r="C52" i="1"/>
  <c r="C39" i="1" a="1"/>
  <c r="C39" i="1" s="1"/>
  <c r="C40" i="1" s="1"/>
  <c r="C42" i="1" s="1"/>
  <c r="C8" i="1" s="1"/>
  <c r="C7" i="1" s="1"/>
  <c r="C33" i="1" a="1"/>
  <c r="C33" i="1" s="1"/>
  <c r="C27" i="1" a="1"/>
  <c r="C27" i="1" s="1"/>
  <c r="C24" i="1" a="1"/>
  <c r="C24" i="1" s="1"/>
  <c r="C23" i="1" a="1"/>
  <c r="C23" i="1" s="1"/>
  <c r="C22" i="1" a="1"/>
  <c r="C22" i="1" s="1"/>
  <c r="C21" i="1" a="1"/>
  <c r="C21" i="1" s="1"/>
  <c r="C13" i="1" a="1"/>
  <c r="C13" i="1" s="1"/>
  <c r="C12" i="1" a="1"/>
  <c r="C12" i="1" s="1"/>
  <c r="C9" i="1" l="1" a="1"/>
  <c r="C9" i="1" s="1"/>
  <c r="C16" i="1" s="1" a="1"/>
  <c r="C16" i="1" s="1"/>
  <c r="C17" i="1" s="1" a="1"/>
  <c r="C17" i="1" s="1"/>
  <c r="C15" i="1" l="1" a="1"/>
  <c r="C15" i="1" s="1"/>
  <c r="C18" i="1" s="1" a="1"/>
  <c r="C1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<sst xmlns="http://schemas.openxmlformats.org/spreadsheetml/2006/main" count="357" uniqueCount="209">
  <si>
    <t>Parameter</t>
  </si>
  <si>
    <t>Value</t>
  </si>
  <si>
    <t>Units</t>
  </si>
  <si>
    <t>Description</t>
  </si>
  <si>
    <t>Notes</t>
  </si>
  <si>
    <t>rho</t>
  </si>
  <si>
    <t>kg/m^3</t>
  </si>
  <si>
    <t>Air density</t>
  </si>
  <si>
    <t>Anderson</t>
  </si>
  <si>
    <t>SL air density</t>
  </si>
  <si>
    <t>visc</t>
  </si>
  <si>
    <t>Pa-s</t>
  </si>
  <si>
    <t>Air viscosity</t>
  </si>
  <si>
    <t>NIST</t>
  </si>
  <si>
    <t>g</t>
  </si>
  <si>
    <t>m/s</t>
  </si>
  <si>
    <t>Gravitational constant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</si>
  <si>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</si>
  <si>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</si>
  <si>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</si>
  <si>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</si>
  <si>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</si>
  <si>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</si>
  <si>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</si>
  <si>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</si>
  <si>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Oswald span efficiency</t>
  </si>
  <si>
    <t>AR</t>
  </si>
  <si>
    <t>Wing aspect ratio</t>
  </si>
  <si>
    <t>Sadraey, table 5.8</t>
  </si>
  <si>
    <t>Home-built/GA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</si>
  <si>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</si>
  <si>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</si>
  <si>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</si>
  <si>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</si>
  <si>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</si>
  <si>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</si>
  <si>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</si>
  <si>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</si>
  <si>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</si>
  <si>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</si>
  <si>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</si>
  <si>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</si>
  <si>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</si>
  <si>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</si>
  <si>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</si>
  <si>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</si>
  <si>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</si>
  <si>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</si>
  <si>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</si>
  <si>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</si>
  <si>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</si>
  <si>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</si>
  <si>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</si>
  <si>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</si>
  <si>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</si>
  <si>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</si>
  <si>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</si>
  <si>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</si>
  <si>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</si>
  <si>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</si>
  <si>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</si>
  <si>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</si>
  <si>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</si>
  <si>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</si>
  <si>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</si>
  <si>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</si>
  <si>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</si>
  <si>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</si>
  <si>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</si>
  <si>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</si>
  <si>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</si>
  <si>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</si>
  <si>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</si>
  <si>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</si>
  <si>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</si>
  <si>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</si>
  <si>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</si>
  <si>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</si>
  <si>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</si>
  <si>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</si>
  <si>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</si>
  <si>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</si>
  <si>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</si>
  <si>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</si>
  <si>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</si>
  <si>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</si>
  <si>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</si>
  <si>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</si>
  <si>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</si>
  <si>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</si>
  <si>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</si>
  <si>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</si>
  <si>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</si>
  <si>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</si>
  <si>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</si>
  <si>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</si>
  <si>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</si>
  <si>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</si>
  <si>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</si>
  <si>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</si>
  <si>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</si>
  <si>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</si>
  <si>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</si>
  <si>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</si>
  <si>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</si>
  <si>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</si>
  <si>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</si>
  <si>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</si>
  <si>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</si>
  <si>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</si>
  <si>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</si>
  <si>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</si>
  <si>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</si>
  <si>
    <t>MTOM</t>
  </si>
  <si>
    <t>kg</t>
  </si>
  <si>
    <t>Takeoff mass</t>
  </si>
  <si>
    <t>From weight estimation code</t>
  </si>
  <si>
    <t>MTOW</t>
  </si>
  <si>
    <t>N</t>
  </si>
  <si>
    <t>Takeoff weight</t>
  </si>
  <si>
    <t>S_wing</t>
  </si>
  <si>
    <t>m^2</t>
  </si>
  <si>
    <t>Wing area</t>
  </si>
  <si>
    <t>Moment Coefficient</t>
  </si>
  <si>
    <t>XFLR5</t>
  </si>
  <si>
    <t>Chord of wing</t>
  </si>
  <si>
    <t>x_ac</t>
  </si>
  <si>
    <t>Aerodynamic Center of Wing</t>
  </si>
  <si>
    <t>l_t</t>
  </si>
  <si>
    <t>M</t>
  </si>
  <si>
    <t>Wing AC to tail AC length</t>
  </si>
  <si>
    <t>E</t>
  </si>
  <si>
    <t>Elevator Chord Fraction</t>
  </si>
  <si>
    <t>Standard Value</t>
  </si>
  <si>
    <t>CL_0</t>
  </si>
  <si>
    <t>Lift at zero AoA</t>
  </si>
  <si>
    <t>Chord of the tail</t>
  </si>
  <si>
    <t>Made up, need real val</t>
  </si>
  <si>
    <t>Aspect Ratio of the tail</t>
  </si>
  <si>
    <t>Smaller than wing to delay stall</t>
  </si>
  <si>
    <t>e_t</t>
  </si>
  <si>
    <t>Oswald span efficiency, tail</t>
  </si>
  <si>
    <t>CD_cruise</t>
  </si>
  <si>
    <t>CM_ac_w</t>
  </si>
  <si>
    <t>SM</t>
  </si>
  <si>
    <t>Static Margin</t>
  </si>
  <si>
    <t>Wing Span</t>
  </si>
  <si>
    <t>Initial Sizing Source</t>
  </si>
  <si>
    <t>wingspan</t>
  </si>
  <si>
    <t>len_fuselage</t>
  </si>
  <si>
    <t>width_fuselage</t>
  </si>
  <si>
    <t>Fuselage width</t>
  </si>
  <si>
    <t>S_wet_fuselage</t>
  </si>
  <si>
    <t>Fuselage length</t>
  </si>
  <si>
    <t>Fuselage wetted area</t>
  </si>
  <si>
    <t>SD7062 max thickness</t>
  </si>
  <si>
    <t>xcm_wing</t>
  </si>
  <si>
    <t>SD7062 location of max thickness</t>
  </si>
  <si>
    <t>span_hstab</t>
  </si>
  <si>
    <t>c_hstab</t>
  </si>
  <si>
    <t>tc_hstab</t>
  </si>
  <si>
    <t>tc_wing</t>
  </si>
  <si>
    <t>xcm_hstab</t>
  </si>
  <si>
    <t>c_vstab</t>
  </si>
  <si>
    <t>span_vstab</t>
  </si>
  <si>
    <t>AR_hstab</t>
  </si>
  <si>
    <t>AR_vstab</t>
  </si>
  <si>
    <t>main_wheel_dia</t>
  </si>
  <si>
    <t>main_wheel_width</t>
  </si>
  <si>
    <t>main_gear_len</t>
  </si>
  <si>
    <t>main_strut_dia</t>
  </si>
  <si>
    <t>tail_wheel_dia</t>
  </si>
  <si>
    <t>tail_wheel_width</t>
  </si>
  <si>
    <t>tail_gear_len</t>
  </si>
  <si>
    <t>tail_strut_dia</t>
  </si>
  <si>
    <t>DqA_wheel</t>
  </si>
  <si>
    <t>Landing wheel drag factor</t>
  </si>
  <si>
    <t>DqA_strut</t>
  </si>
  <si>
    <t>Landing strut drag factor</t>
  </si>
  <si>
    <t>e_wing</t>
  </si>
  <si>
    <t>Sadraey, eqn 5.27a</t>
  </si>
  <si>
    <t>c_wing</t>
  </si>
  <si>
    <t>tc_vstab</t>
  </si>
  <si>
    <t>xcm_vstab</t>
  </si>
  <si>
    <t>K_wing</t>
  </si>
  <si>
    <t>Source</t>
  </si>
  <si>
    <t>Drag code</t>
  </si>
  <si>
    <t>K_hstab</t>
  </si>
  <si>
    <t>Horizontal stab induced drag factor</t>
  </si>
  <si>
    <t>Thin airfoil theory</t>
  </si>
  <si>
    <t>St_S</t>
  </si>
  <si>
    <t>Tail to wing area ratio</t>
  </si>
  <si>
    <t>??</t>
  </si>
  <si>
    <t>CD_0_misc_factor</t>
  </si>
  <si>
    <t>V_v</t>
  </si>
  <si>
    <t>--</t>
  </si>
  <si>
    <t>Vertical Tail Coefficient</t>
  </si>
  <si>
    <t>df</t>
  </si>
  <si>
    <t>zw</t>
  </si>
  <si>
    <t>Body Depth of Wing</t>
  </si>
  <si>
    <t>Wing Root Height</t>
  </si>
  <si>
    <t>NACA 0010 max thickness</t>
  </si>
  <si>
    <t>NACA 0010 location of max thickness</t>
  </si>
  <si>
    <t>Subclass</t>
  </si>
  <si>
    <t>env</t>
  </si>
  <si>
    <t>aero</t>
  </si>
  <si>
    <t>geometry</t>
  </si>
  <si>
    <t>performance</t>
  </si>
  <si>
    <t>prop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</si>
</sst>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E+00"/>
    <numFmt numFmtId="165" formatCode="0.000"/>
    <numFmt numFmtId="166" formatCode="0.0"/>
    <numFmt numFmtId="167" formatCode="0.0000"/>
  </numFmts>
  <fonts count="3" x14ac:knownFonts="1">
    <font>
      <sz val="11"/>
      <color indexed="8"/>
      <name val="Calibri"/>
    </font>
    <font>
      <sz val="11"/>
      <color indexed="8"/>
      <name val="Calibri"/>
      <family val="2"/>
    </font>
    <font>
      <b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auto="1"/>
      </patternFill>
    </fill>
  </fills>
  <borders count="1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1"/>
      </bottom>
      <diagonal/>
    </border>
    <border>
      <left/>
      <right style="thin">
        <color indexed="10"/>
      </right>
      <top style="thin">
        <color indexed="11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33">
    <xf numFmtId="0" fontId="0" fillId="0" borderId="0" xfId="0"/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49" fontId="0" fillId="2" borderId="2" xfId="0" applyNumberFormat="1" applyFill="1" applyBorder="1"/>
    <xf numFmtId="49" fontId="1" fillId="2" borderId="1" xfId="0" applyNumberFormat="1" applyFont="1" applyFill="1" applyBorder="1"/>
    <xf numFmtId="0" fontId="1" fillId="2" borderId="1" xfId="0" applyFont="1" applyFill="1" applyBorder="1"/>
    <xf numFmtId="49" fontId="2" fillId="2" borderId="1" xfId="0" applyNumberFormat="1" applyFont="1" applyFill="1" applyBorder="1"/>
    <xf numFmtId="0" fontId="1" fillId="2" borderId="1" xfId="0" quotePrefix="1" applyFont="1" applyFill="1" applyBorder="1"/>
    <xf numFmtId="0" fontId="0" fillId="2" borderId="1" xfId="0" quotePrefix="1" applyFill="1" applyBorder="1"/>
    <xf numFmtId="49" fontId="2" fillId="2" borderId="4" xfId="0" applyNumberFormat="1" applyFont="1" applyFill="1" applyBorder="1"/>
    <xf numFmtId="49" fontId="0" fillId="2" borderId="4" xfId="0" applyNumberFormat="1" applyFill="1" applyBorder="1"/>
    <xf numFmtId="49" fontId="1" fillId="2" borderId="4" xfId="0" applyNumberFormat="1" applyFont="1" applyFill="1" applyBorder="1"/>
    <xf numFmtId="0" fontId="1" fillId="2" borderId="4" xfId="0" applyFont="1" applyFill="1" applyBorder="1"/>
    <xf numFmtId="0" fontId="0" fillId="2" borderId="4" xfId="0" applyFill="1" applyBorder="1"/>
    <xf numFmtId="49" fontId="2" fillId="2" borderId="5" xfId="0" applyNumberFormat="1" applyFont="1" applyFill="1" applyBorder="1"/>
    <xf numFmtId="0" fontId="0" fillId="0" borderId="6" xfId="0" applyNumberFormat="1" applyFill="1" applyBorder="1"/>
    <xf numFmtId="164" fontId="0" fillId="0" borderId="6" xfId="0" applyNumberFormat="1" applyFill="1" applyBorder="1"/>
    <xf numFmtId="2" fontId="0" fillId="0" borderId="6" xfId="0" applyNumberFormat="1" applyFill="1" applyBorder="1"/>
    <xf numFmtId="165" fontId="0" fillId="0" borderId="6" xfId="0" applyNumberFormat="1" applyFill="1" applyBorder="1"/>
    <xf numFmtId="166" fontId="0" fillId="0" borderId="6" xfId="0" applyNumberFormat="1" applyFill="1" applyBorder="1"/>
    <xf numFmtId="0" fontId="0" fillId="0" borderId="7" xfId="0" applyNumberFormat="1" applyFill="1" applyBorder="1"/>
    <xf numFmtId="2" fontId="0" fillId="0" borderId="7" xfId="0" applyNumberFormat="1" applyFill="1" applyBorder="1"/>
    <xf numFmtId="167" fontId="0" fillId="0" borderId="8" xfId="0" applyNumberFormat="1" applyFill="1" applyBorder="1"/>
    <xf numFmtId="0" fontId="0" fillId="0" borderId="9" xfId="0" applyNumberFormat="1" applyFill="1" applyBorder="1"/>
    <xf numFmtId="165" fontId="0" fillId="2" borderId="9" xfId="0" applyNumberFormat="1" applyFill="1" applyBorder="1"/>
    <xf numFmtId="0" fontId="0" fillId="2" borderId="9" xfId="0" applyNumberFormat="1" applyFill="1" applyBorder="1"/>
    <xf numFmtId="2" fontId="0" fillId="2" borderId="9" xfId="0" applyNumberFormat="1" applyFill="1" applyBorder="1"/>
    <xf numFmtId="0" fontId="0" fillId="2" borderId="9" xfId="0" applyFill="1" applyBorder="1"/>
    <xf numFmtId="0" fontId="2" fillId="0" borderId="3" xfId="0" applyFont="1" applyBorder="1"/>
    <xf numFmtId="0" fontId="1" fillId="0" borderId="3" xfId="0" applyFont="1" applyBorder="1"/>
    <xf numFmtId="0" fontId="0" fillId="2" borderId="3" xfId="0" applyFill="1" applyBorder="1"/>
    <xf numFmtId="0" fontId="0" fillId="0" borderId="3" xfId="0" applyNumberForma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183515</xdr:rowOff>
    </xdr:from>
    <xdr:to>
      <xdr:col>17</xdr:col>
      <xdr:colOff>39108</xdr:colOff>
      <xdr:row>37</xdr:row>
      <xdr:rowOff>62871</xdr:rowOff>
    </xdr:to>
    <xdr:pic>
      <xdr:nvPicPr>
        <xdr:cNvPr id="2" name="Picture 1" descr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8100" y="4037329"/>
          <a:ext cx="4077709" cy="281559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11</xdr:col>
      <xdr:colOff>9151</xdr:colOff>
      <xdr:row>37</xdr:row>
      <xdr:rowOff>141220</xdr:rowOff>
    </xdr:from>
    <xdr:to>
      <xdr:col>17</xdr:col>
      <xdr:colOff>43963</xdr:colOff>
      <xdr:row>53</xdr:row>
      <xdr:rowOff>67330</xdr:rowOff>
    </xdr:to>
    <xdr:pic>
      <xdr:nvPicPr>
        <xdr:cNvPr id="3" name="Picture 2" descr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17478" y="6918624"/>
          <a:ext cx="3639658" cy="230736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142142</xdr:colOff>
      <xdr:row>83</xdr:row>
      <xdr:rowOff>97457</xdr:rowOff>
    </xdr:from>
    <xdr:to>
      <xdr:col>5</xdr:col>
      <xdr:colOff>605269</xdr:colOff>
      <xdr:row>100</xdr:row>
      <xdr:rowOff>59358</xdr:rowOff>
    </xdr:to>
    <xdr:pic>
      <xdr:nvPicPr>
        <xdr:cNvPr id="4" name="Picture 3" descr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142" y="14937407"/>
          <a:ext cx="5206577" cy="30384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297995</xdr:colOff>
      <xdr:row>70</xdr:row>
      <xdr:rowOff>108868</xdr:rowOff>
    </xdr:from>
    <xdr:to>
      <xdr:col>16</xdr:col>
      <xdr:colOff>153761</xdr:colOff>
      <xdr:row>90</xdr:row>
      <xdr:rowOff>775</xdr:rowOff>
    </xdr:to>
    <xdr:pic>
      <xdr:nvPicPr>
        <xdr:cNvPr id="5" name="Picture 4" descr="Picture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206794" y="12404373"/>
          <a:ext cx="5240568" cy="356220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8</xdr:col>
      <xdr:colOff>254451</xdr:colOff>
      <xdr:row>62</xdr:row>
      <xdr:rowOff>81649</xdr:rowOff>
    </xdr:from>
    <xdr:to>
      <xdr:col>15</xdr:col>
      <xdr:colOff>475977</xdr:colOff>
      <xdr:row>68</xdr:row>
      <xdr:rowOff>60011</xdr:rowOff>
    </xdr:to>
    <xdr:pic>
      <xdr:nvPicPr>
        <xdr:cNvPr id="6" name="Picture 5" descr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163251" y="10909034"/>
          <a:ext cx="4933227" cy="107945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175846</xdr:colOff>
      <xdr:row>96</xdr:row>
      <xdr:rowOff>43014</xdr:rowOff>
    </xdr:from>
    <xdr:to>
      <xdr:col>6</xdr:col>
      <xdr:colOff>575716</xdr:colOff>
      <xdr:row>104</xdr:row>
      <xdr:rowOff>65005</xdr:rowOff>
    </xdr:to>
    <xdr:pic>
      <xdr:nvPicPr>
        <xdr:cNvPr id="7" name="Picture 6" descr="Picture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846" y="17261283"/>
          <a:ext cx="4920582" cy="1487376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278424</xdr:colOff>
      <xdr:row>104</xdr:row>
      <xdr:rowOff>14660</xdr:rowOff>
    </xdr:from>
    <xdr:to>
      <xdr:col>6</xdr:col>
      <xdr:colOff>1516674</xdr:colOff>
      <xdr:row>106</xdr:row>
      <xdr:rowOff>118773</xdr:rowOff>
    </xdr:to>
    <xdr:pic>
      <xdr:nvPicPr>
        <xdr:cNvPr id="8" name="Picture 7" descr="Picture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8424" y="18698314"/>
          <a:ext cx="5758962" cy="47045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9</xdr:col>
      <xdr:colOff>104775</xdr:colOff>
      <xdr:row>92</xdr:row>
      <xdr:rowOff>142880</xdr:rowOff>
    </xdr:from>
    <xdr:to>
      <xdr:col>15</xdr:col>
      <xdr:colOff>244370</xdr:colOff>
      <xdr:row>113</xdr:row>
      <xdr:rowOff>53886</xdr:rowOff>
    </xdr:to>
    <xdr:pic>
      <xdr:nvPicPr>
        <xdr:cNvPr id="9" name="Picture 8" descr="Picture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86675" y="16475715"/>
          <a:ext cx="4178196" cy="376482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498231</xdr:colOff>
      <xdr:row>106</xdr:row>
      <xdr:rowOff>109907</xdr:rowOff>
    </xdr:from>
    <xdr:to>
      <xdr:col>6</xdr:col>
      <xdr:colOff>1281404</xdr:colOff>
      <xdr:row>122</xdr:row>
      <xdr:rowOff>79550</xdr:rowOff>
    </xdr:to>
    <xdr:pic>
      <xdr:nvPicPr>
        <xdr:cNvPr id="10" name="Picture 9" descr="Picture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8231" y="19159907"/>
          <a:ext cx="5062096" cy="290041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685067</xdr:colOff>
      <xdr:row>124</xdr:row>
      <xdr:rowOff>52020</xdr:rowOff>
    </xdr:from>
    <xdr:to>
      <xdr:col>6</xdr:col>
      <xdr:colOff>1305657</xdr:colOff>
      <xdr:row>139</xdr:row>
      <xdr:rowOff>59792</xdr:rowOff>
    </xdr:to>
    <xdr:pic>
      <xdr:nvPicPr>
        <xdr:cNvPr id="11" name="Picture 10" descr="Picture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85067" y="22399135"/>
          <a:ext cx="4899513" cy="275536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58615</xdr:colOff>
      <xdr:row>132</xdr:row>
      <xdr:rowOff>130415</xdr:rowOff>
    </xdr:from>
    <xdr:to>
      <xdr:col>17</xdr:col>
      <xdr:colOff>366931</xdr:colOff>
      <xdr:row>139</xdr:row>
      <xdr:rowOff>25826</xdr:rowOff>
    </xdr:to>
    <xdr:pic>
      <xdr:nvPicPr>
        <xdr:cNvPr id="12" name="Picture 11" descr="Picture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052038" y="23942915"/>
          <a:ext cx="6096585" cy="117762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 editAs="oneCell">
    <xdr:from>
      <xdr:col>7</xdr:col>
      <xdr:colOff>443594</xdr:colOff>
      <xdr:row>54</xdr:row>
      <xdr:rowOff>92527</xdr:rowOff>
    </xdr:from>
    <xdr:to>
      <xdr:col>14</xdr:col>
      <xdr:colOff>477883</xdr:colOff>
      <xdr:row>61</xdr:row>
      <xdr:rowOff>129905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04A87FAB-D197-5904-4F5D-43C9526A8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549244" y="9865177"/>
          <a:ext cx="6200774" cy="130039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32"/>
  <sheetViews>
    <sheetView showGridLines="0" tabSelected="1" zoomScaleNormal="100" workbookViewId="0">
      <selection activeCell="C15" sqref="C15"/>
    </sheetView>
  </sheetViews>
  <sheetFormatPr defaultColWidth="8.7109375" defaultRowHeight="14.85" customHeight="1" x14ac:dyDescent="0.25"/>
  <cols>
    <col min="1" max="1" width="18.42578125" style="1" bestFit="1" customWidth="1"/>
    <col min="2" max="2" width="18.42578125" style="32" customWidth="1"/>
    <col min="3" max="3" width="9.85546875" style="1" bestFit="1" customWidth="1"/>
    <col min="4" max="4" width="8.7109375" style="1" customWidth="1"/>
    <col min="5" max="5" width="34.140625" style="1" bestFit="1" customWidth="1"/>
    <col min="6" max="6" width="9.7109375" style="1" bestFit="1" customWidth="1"/>
    <col min="7" max="7" width="25.7109375" style="1" customWidth="1"/>
    <col min="8" max="8" width="40.28515625" style="1" bestFit="1" customWidth="1"/>
    <col min="9" max="20" width="8.7109375" style="1" customWidth="1"/>
    <col min="21" max="16384" width="8.7109375" style="1"/>
  </cols>
  <sheetData>
    <row r="1" spans="1:19" ht="14.85" customHeight="1" x14ac:dyDescent="0.25">
      <c r="A1" s="10" t="s">
        <v>0</v>
      </c>
      <c r="B1" s="29" t="s">
        <v>203</v>
      </c>
      <c r="C1" s="15" t="s">
        <v>1</v>
      </c>
      <c r="D1" s="7" t="s">
        <v>2</v>
      </c>
      <c r="E1" s="7" t="s">
        <v>3</v>
      </c>
      <c r="F1" s="7" t="s">
        <v>185</v>
      </c>
      <c r="G1" s="7" t="s">
        <v>147</v>
      </c>
      <c r="H1" s="7" t="s">
        <v>4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14.85" customHeight="1" x14ac:dyDescent="0.25">
      <c r="A2" s="11" t="s">
        <v>5</v>
      </c>
      <c r="B2" s="30" t="s">
        <v>204</v>
      </c>
      <c r="C2" s="16">
        <v>1.2250000000000001</v>
      </c>
      <c r="D2" s="4" t="s">
        <v>6</v>
      </c>
      <c r="E2" s="2" t="s">
        <v>7</v>
      </c>
      <c r="F2" s="2"/>
      <c r="G2" s="2" t="s">
        <v>8</v>
      </c>
      <c r="H2" s="2" t="s">
        <v>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ht="14.85" customHeight="1" x14ac:dyDescent="0.25">
      <c r="A3" s="11" t="s">
        <v>10</v>
      </c>
      <c r="B3" s="30" t="s">
        <v>204</v>
      </c>
      <c r="C3" s="17">
        <v>1.7960000000000001E-5</v>
      </c>
      <c r="D3" s="4" t="s">
        <v>11</v>
      </c>
      <c r="E3" s="2" t="s">
        <v>12</v>
      </c>
      <c r="F3" s="2"/>
      <c r="G3" s="2" t="s">
        <v>13</v>
      </c>
      <c r="H3" s="2"/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19" ht="14.85" customHeight="1" x14ac:dyDescent="0.25">
      <c r="A4" s="11" t="s">
        <v>14</v>
      </c>
      <c r="B4" s="30" t="s">
        <v>204</v>
      </c>
      <c r="C4" s="16">
        <v>9.81</v>
      </c>
      <c r="D4" s="4" t="s">
        <v>15</v>
      </c>
      <c r="E4" s="2" t="s">
        <v>16</v>
      </c>
      <c r="F4" s="2"/>
      <c r="G4" s="2" t="s">
        <v>13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</row>
    <row r="5" spans="1:19" ht="14.85" customHeight="1" x14ac:dyDescent="0.25">
      <c r="A5" s="11" t="s">
        <v>17</v>
      </c>
      <c r="B5" s="30" t="s">
        <v>204</v>
      </c>
      <c r="C5" s="16">
        <v>0.05</v>
      </c>
      <c r="D5" s="4" t="s">
        <v>18</v>
      </c>
      <c r="E5" s="2" t="s">
        <v>19</v>
      </c>
      <c r="F5" s="2"/>
      <c r="G5" s="2" t="s">
        <v>20</v>
      </c>
      <c r="H5" s="2" t="s">
        <v>21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ht="14.85" customHeight="1" x14ac:dyDescent="0.25">
      <c r="A6" s="11" t="s">
        <v>22</v>
      </c>
      <c r="B6" s="30" t="s">
        <v>204</v>
      </c>
      <c r="C6" s="16">
        <v>0.08</v>
      </c>
      <c r="D6" s="4" t="s">
        <v>18</v>
      </c>
      <c r="E6" s="2" t="s">
        <v>23</v>
      </c>
      <c r="F6" s="2"/>
      <c r="G6" s="2" t="s">
        <v>20</v>
      </c>
      <c r="H6" s="2" t="s">
        <v>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ht="14.85" customHeight="1" x14ac:dyDescent="0.25">
      <c r="A7" s="12" t="s">
        <v>179</v>
      </c>
      <c r="B7" s="30" t="s">
        <v>205</v>
      </c>
      <c r="C7" s="18">
        <f>1.78*(1-0.045*C8^0.68)-0.64</f>
        <v>0.91000572412664693</v>
      </c>
      <c r="D7" s="4" t="s">
        <v>18</v>
      </c>
      <c r="E7" s="2" t="s">
        <v>25</v>
      </c>
      <c r="F7" s="2"/>
      <c r="G7" s="5" t="s">
        <v>180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19" ht="14.85" customHeight="1" x14ac:dyDescent="0.25">
      <c r="A8" s="11" t="s">
        <v>26</v>
      </c>
      <c r="B8" s="30" t="s">
        <v>206</v>
      </c>
      <c r="C8" s="18">
        <f>C54/C42</f>
        <v>4.7168676768718001</v>
      </c>
      <c r="D8" s="4" t="s">
        <v>18</v>
      </c>
      <c r="E8" s="2" t="s">
        <v>27</v>
      </c>
      <c r="F8" s="2"/>
      <c r="G8" s="2" t="s">
        <v>28</v>
      </c>
      <c r="H8" s="2" t="s">
        <v>29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</row>
    <row r="9" spans="1:19" ht="14.85" customHeight="1" x14ac:dyDescent="0.25">
      <c r="A9" s="12" t="s">
        <v>184</v>
      </c>
      <c r="B9" s="30" t="s">
        <v>205</v>
      </c>
      <c r="C9" s="19" cm="1">
        <f t="array" ref="C9">1/(PI()*C7*C8)</f>
        <v>7.4157026955488606E-2</v>
      </c>
      <c r="D9" s="4" t="s">
        <v>18</v>
      </c>
      <c r="E9" s="2" t="s">
        <v>30</v>
      </c>
      <c r="F9" s="2"/>
      <c r="G9" s="2" t="s">
        <v>31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</row>
    <row r="10" spans="1:19" ht="14.85" customHeight="1" x14ac:dyDescent="0.25">
      <c r="A10" s="11" t="s">
        <v>32</v>
      </c>
      <c r="B10" s="30" t="s">
        <v>205</v>
      </c>
      <c r="C10" s="16">
        <v>0.3</v>
      </c>
      <c r="D10" s="4" t="s">
        <v>18</v>
      </c>
      <c r="E10" s="2" t="s">
        <v>33</v>
      </c>
      <c r="F10" s="2"/>
      <c r="G10" s="2" t="s">
        <v>34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</row>
    <row r="11" spans="1:19" ht="14.85" customHeight="1" x14ac:dyDescent="0.25">
      <c r="A11" s="11" t="s">
        <v>35</v>
      </c>
      <c r="B11" s="30" t="s">
        <v>205</v>
      </c>
      <c r="C11" s="16">
        <v>1.43</v>
      </c>
      <c r="D11" s="4" t="s">
        <v>18</v>
      </c>
      <c r="E11" s="2" t="s">
        <v>36</v>
      </c>
      <c r="F11" s="2"/>
      <c r="G11" s="2" t="s">
        <v>37</v>
      </c>
      <c r="H11" s="2" t="s">
        <v>38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ht="14.85" customHeight="1" x14ac:dyDescent="0.25">
      <c r="A12" s="11" t="s">
        <v>39</v>
      </c>
      <c r="B12" s="30" t="s">
        <v>205</v>
      </c>
      <c r="C12" s="16" cm="1">
        <f t="array" ref="C12">C10</f>
        <v>0.3</v>
      </c>
      <c r="D12" s="4" t="s">
        <v>18</v>
      </c>
      <c r="E12" s="2" t="s">
        <v>40</v>
      </c>
      <c r="F12" s="2"/>
      <c r="G12" s="2" t="s">
        <v>41</v>
      </c>
      <c r="H12" s="2" t="s">
        <v>42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ht="14.85" customHeight="1" x14ac:dyDescent="0.25">
      <c r="A13" s="11" t="s">
        <v>43</v>
      </c>
      <c r="B13" s="30" t="s">
        <v>205</v>
      </c>
      <c r="C13" s="18" cm="1">
        <f t="array" ref="C13">C11/C20^2</f>
        <v>1.1818181818181817</v>
      </c>
      <c r="D13" s="4" t="s">
        <v>18</v>
      </c>
      <c r="E13" s="2" t="s">
        <v>44</v>
      </c>
      <c r="F13" s="2"/>
      <c r="G13" s="2" t="s">
        <v>45</v>
      </c>
      <c r="H13" s="2" t="s">
        <v>46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19" ht="14.85" customHeight="1" x14ac:dyDescent="0.25">
      <c r="A14" s="11" t="s">
        <v>47</v>
      </c>
      <c r="B14" s="30" t="s">
        <v>205</v>
      </c>
      <c r="C14" s="19">
        <v>3.15E-2</v>
      </c>
      <c r="D14" s="4" t="s">
        <v>18</v>
      </c>
      <c r="E14" s="2" t="s">
        <v>48</v>
      </c>
      <c r="F14" s="5" t="s">
        <v>186</v>
      </c>
      <c r="G14" s="2" t="s">
        <v>49</v>
      </c>
      <c r="H14" s="2" t="s">
        <v>50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19" ht="14.85" customHeight="1" x14ac:dyDescent="0.25">
      <c r="A15" s="12" t="s">
        <v>142</v>
      </c>
      <c r="B15" s="30" t="s">
        <v>205</v>
      </c>
      <c r="C15" s="19" cm="1">
        <f t="array" ref="C15">C14+C9*C10^2</f>
        <v>3.8174132425993976E-2</v>
      </c>
      <c r="D15" s="4" t="s">
        <v>18</v>
      </c>
      <c r="E15" s="2" t="s">
        <v>51</v>
      </c>
      <c r="F15" s="2"/>
      <c r="G15" s="2" t="s">
        <v>52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19" ht="14.85" customHeight="1" x14ac:dyDescent="0.25">
      <c r="A16" s="11" t="s">
        <v>53</v>
      </c>
      <c r="B16" s="30" t="s">
        <v>205</v>
      </c>
      <c r="C16" s="19" cm="1">
        <f t="array" ref="C16">C14+C9*C12^2</f>
        <v>3.8174132425993976E-2</v>
      </c>
      <c r="D16" s="4" t="s">
        <v>18</v>
      </c>
      <c r="E16" s="2" t="s">
        <v>54</v>
      </c>
      <c r="F16" s="2"/>
      <c r="G16" s="2" t="s">
        <v>55</v>
      </c>
      <c r="H16" s="2" t="s">
        <v>42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ht="14.85" customHeight="1" x14ac:dyDescent="0.25">
      <c r="A17" s="11" t="s">
        <v>56</v>
      </c>
      <c r="B17" s="30" t="s">
        <v>205</v>
      </c>
      <c r="C17" s="19" cm="1">
        <f t="array" ref="C17">C16-C5*C12</f>
        <v>2.3174132425993976E-2</v>
      </c>
      <c r="D17" s="4" t="s">
        <v>18</v>
      </c>
      <c r="E17" s="2" t="s">
        <v>57</v>
      </c>
      <c r="F17" s="2"/>
      <c r="G17" s="2" t="s">
        <v>58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ht="14.85" customHeight="1" x14ac:dyDescent="0.25">
      <c r="A18" s="11" t="s">
        <v>59</v>
      </c>
      <c r="B18" s="30" t="s">
        <v>205</v>
      </c>
      <c r="C18" s="18" cm="1">
        <f t="array" ref="C18">C10/C15</f>
        <v>7.8587247681815153</v>
      </c>
      <c r="D18" s="4" t="s">
        <v>18</v>
      </c>
      <c r="E18" s="2" t="s">
        <v>60</v>
      </c>
      <c r="F18" s="2"/>
      <c r="G18" s="3"/>
      <c r="H18" s="2" t="s">
        <v>61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ht="14.85" customHeight="1" x14ac:dyDescent="0.25">
      <c r="A19" s="11" t="s">
        <v>62</v>
      </c>
      <c r="B19" s="30" t="s">
        <v>205</v>
      </c>
      <c r="C19" s="18">
        <v>10.5</v>
      </c>
      <c r="D19" s="4" t="s">
        <v>15</v>
      </c>
      <c r="E19" s="2" t="s">
        <v>63</v>
      </c>
      <c r="F19" s="2"/>
      <c r="G19" s="2" t="s">
        <v>64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ht="14.85" customHeight="1" x14ac:dyDescent="0.25">
      <c r="A20" s="11" t="s">
        <v>65</v>
      </c>
      <c r="B20" s="30" t="s">
        <v>205</v>
      </c>
      <c r="C20" s="20">
        <v>1.1000000000000001</v>
      </c>
      <c r="D20" s="4" t="s">
        <v>18</v>
      </c>
      <c r="E20" s="2" t="s">
        <v>66</v>
      </c>
      <c r="F20" s="2"/>
      <c r="G20" s="2" t="s">
        <v>34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ht="14.85" customHeight="1" x14ac:dyDescent="0.25">
      <c r="A21" s="11" t="s">
        <v>67</v>
      </c>
      <c r="B21" s="30" t="s">
        <v>207</v>
      </c>
      <c r="C21" s="18" cm="1">
        <f t="array" ref="C21">C20*C19</f>
        <v>11.55</v>
      </c>
      <c r="D21" s="4" t="s">
        <v>15</v>
      </c>
      <c r="E21" s="2" t="s">
        <v>68</v>
      </c>
      <c r="F21" s="2"/>
      <c r="G21" s="2" t="s">
        <v>34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ht="14.85" customHeight="1" x14ac:dyDescent="0.25">
      <c r="A22" s="11" t="s">
        <v>69</v>
      </c>
      <c r="B22" s="30" t="s">
        <v>207</v>
      </c>
      <c r="C22" s="18" cm="1">
        <f t="array" ref="C22">SQRT(C19^2*C11/C10)</f>
        <v>22.924332051337942</v>
      </c>
      <c r="D22" s="4" t="s">
        <v>15</v>
      </c>
      <c r="E22" s="2" t="s">
        <v>70</v>
      </c>
      <c r="F22" s="2"/>
      <c r="G22" s="3"/>
      <c r="H22" s="2" t="s">
        <v>71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ht="14.85" customHeight="1" x14ac:dyDescent="0.25">
      <c r="A23" s="11" t="s">
        <v>72</v>
      </c>
      <c r="B23" s="30" t="s">
        <v>207</v>
      </c>
      <c r="C23" s="18" cm="1">
        <f t="array" ref="C23">SQRT(C26*C4*SQRT(C25^2-1))</f>
        <v>14.810748414335091</v>
      </c>
      <c r="D23" s="4" t="s">
        <v>15</v>
      </c>
      <c r="E23" s="2" t="s">
        <v>73</v>
      </c>
      <c r="F23" s="2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ht="14.85" customHeight="1" x14ac:dyDescent="0.25">
      <c r="A24" s="11" t="s">
        <v>74</v>
      </c>
      <c r="B24" s="30" t="s">
        <v>207</v>
      </c>
      <c r="C24" s="18" cm="1">
        <f t="array" ref="C24">C19*SQRT(C25)</f>
        <v>12.859821149611683</v>
      </c>
      <c r="D24" s="4" t="s">
        <v>15</v>
      </c>
      <c r="E24" s="2" t="s">
        <v>75</v>
      </c>
      <c r="F24" s="2"/>
      <c r="G24" s="2" t="s">
        <v>76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ht="14.85" customHeight="1" x14ac:dyDescent="0.25">
      <c r="A25" s="11" t="s">
        <v>77</v>
      </c>
      <c r="B25" s="30" t="s">
        <v>207</v>
      </c>
      <c r="C25" s="16">
        <v>1.5</v>
      </c>
      <c r="D25" s="4" t="s">
        <v>18</v>
      </c>
      <c r="E25" s="2" t="s">
        <v>78</v>
      </c>
      <c r="F25" s="2"/>
      <c r="G25" s="2" t="s">
        <v>79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ht="14.85" customHeight="1" x14ac:dyDescent="0.25">
      <c r="A26" s="11" t="s">
        <v>80</v>
      </c>
      <c r="B26" s="30" t="s">
        <v>207</v>
      </c>
      <c r="C26" s="16">
        <v>20</v>
      </c>
      <c r="D26" s="4" t="s">
        <v>81</v>
      </c>
      <c r="E26" s="2" t="s">
        <v>82</v>
      </c>
      <c r="F26" s="2"/>
      <c r="G26" s="2" t="s">
        <v>76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19" ht="14.85" customHeight="1" x14ac:dyDescent="0.25">
      <c r="A27" s="11" t="s">
        <v>83</v>
      </c>
      <c r="B27" s="30" t="s">
        <v>207</v>
      </c>
      <c r="C27" s="18" cm="1">
        <f t="array" ref="C27">DEGREES(ACOS(1/C25))</f>
        <v>48.189685104221404</v>
      </c>
      <c r="D27" s="4" t="s">
        <v>84</v>
      </c>
      <c r="E27" s="2" t="s">
        <v>85</v>
      </c>
      <c r="F27" s="2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</row>
    <row r="28" spans="1:19" ht="14.85" customHeight="1" x14ac:dyDescent="0.25">
      <c r="A28" s="11" t="s">
        <v>86</v>
      </c>
      <c r="B28" s="30" t="s">
        <v>207</v>
      </c>
      <c r="C28" s="16">
        <v>0.75</v>
      </c>
      <c r="D28" s="4" t="s">
        <v>18</v>
      </c>
      <c r="E28" s="2" t="s">
        <v>87</v>
      </c>
      <c r="F28" s="2"/>
      <c r="G28" s="2" t="s">
        <v>88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19" ht="14.85" customHeight="1" x14ac:dyDescent="0.25">
      <c r="A29" s="11" t="s">
        <v>89</v>
      </c>
      <c r="B29" s="30" t="s">
        <v>208</v>
      </c>
      <c r="C29" s="16">
        <v>0.75</v>
      </c>
      <c r="D29" s="4" t="s">
        <v>18</v>
      </c>
      <c r="E29" s="2" t="s">
        <v>90</v>
      </c>
      <c r="F29" s="2"/>
      <c r="G29" s="2" t="s">
        <v>91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</row>
    <row r="30" spans="1:19" ht="14.85" customHeight="1" x14ac:dyDescent="0.25">
      <c r="A30" s="11" t="s">
        <v>92</v>
      </c>
      <c r="B30" s="30" t="s">
        <v>208</v>
      </c>
      <c r="C30" s="16">
        <v>0.45</v>
      </c>
      <c r="D30" s="4" t="s">
        <v>18</v>
      </c>
      <c r="E30" s="2" t="s">
        <v>93</v>
      </c>
      <c r="F30" s="2"/>
      <c r="G30" s="2" t="s">
        <v>91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19" ht="14.85" customHeight="1" x14ac:dyDescent="0.25">
      <c r="A31" s="11" t="s">
        <v>94</v>
      </c>
      <c r="B31" s="30" t="s">
        <v>207</v>
      </c>
      <c r="C31" s="16">
        <v>30</v>
      </c>
      <c r="D31" s="4" t="s">
        <v>81</v>
      </c>
      <c r="E31" s="2" t="s">
        <v>95</v>
      </c>
      <c r="F31" s="2"/>
      <c r="G31" s="2" t="s">
        <v>96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</row>
    <row r="32" spans="1:19" ht="14.85" customHeight="1" x14ac:dyDescent="0.25">
      <c r="A32" s="11" t="s">
        <v>97</v>
      </c>
      <c r="B32" s="30" t="s">
        <v>207</v>
      </c>
      <c r="C32" s="16">
        <v>100</v>
      </c>
      <c r="D32" s="4" t="s">
        <v>81</v>
      </c>
      <c r="E32" s="2" t="s">
        <v>98</v>
      </c>
      <c r="F32" s="2"/>
      <c r="G32" s="2" t="s">
        <v>99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</row>
    <row r="33" spans="1:19" ht="14.85" customHeight="1" x14ac:dyDescent="0.25">
      <c r="A33" s="11" t="s">
        <v>100</v>
      </c>
      <c r="B33" s="30" t="s">
        <v>207</v>
      </c>
      <c r="C33" s="18" cm="1">
        <f t="array" ref="C33">DEGREES(ATAN(30/100))</f>
        <v>16.699244233993621</v>
      </c>
      <c r="D33" s="4" t="s">
        <v>84</v>
      </c>
      <c r="E33" s="2" t="s">
        <v>101</v>
      </c>
      <c r="F33" s="2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</row>
    <row r="34" spans="1:19" ht="14.85" customHeight="1" x14ac:dyDescent="0.25">
      <c r="A34" s="11" t="s">
        <v>102</v>
      </c>
      <c r="B34" s="30" t="s">
        <v>207</v>
      </c>
      <c r="C34" s="18">
        <v>25</v>
      </c>
      <c r="D34" s="4" t="s">
        <v>81</v>
      </c>
      <c r="E34" s="2" t="s">
        <v>103</v>
      </c>
      <c r="F34" s="2"/>
      <c r="G34" s="2" t="s">
        <v>104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</row>
    <row r="35" spans="1:19" ht="14.85" customHeight="1" x14ac:dyDescent="0.25">
      <c r="A35" s="11" t="s">
        <v>105</v>
      </c>
      <c r="B35" s="30" t="s">
        <v>207</v>
      </c>
      <c r="C35" s="16">
        <v>95</v>
      </c>
      <c r="D35" s="4" t="s">
        <v>106</v>
      </c>
      <c r="E35" s="2" t="s">
        <v>107</v>
      </c>
      <c r="F35" s="2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ht="14.85" customHeight="1" x14ac:dyDescent="0.25">
      <c r="A36" s="11" t="s">
        <v>108</v>
      </c>
      <c r="B36" s="30" t="s">
        <v>207</v>
      </c>
      <c r="C36" s="16">
        <v>7.0000000000000007E-2</v>
      </c>
      <c r="D36" s="4" t="s">
        <v>109</v>
      </c>
      <c r="E36" s="2" t="s">
        <v>110</v>
      </c>
      <c r="F36" s="2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ht="14.85" customHeight="1" x14ac:dyDescent="0.25">
      <c r="A37" s="11" t="s">
        <v>111</v>
      </c>
      <c r="B37" s="30" t="s">
        <v>207</v>
      </c>
      <c r="C37" s="16">
        <v>0.8</v>
      </c>
      <c r="D37" s="4" t="s">
        <v>18</v>
      </c>
      <c r="E37" s="2" t="s">
        <v>112</v>
      </c>
      <c r="F37" s="2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ht="14.85" customHeight="1" x14ac:dyDescent="0.25">
      <c r="A38" s="11" t="s">
        <v>113</v>
      </c>
      <c r="B38" s="30" t="s">
        <v>207</v>
      </c>
      <c r="C38" s="21">
        <v>4.45</v>
      </c>
      <c r="D38" s="2" t="s">
        <v>114</v>
      </c>
      <c r="E38" s="2" t="s">
        <v>115</v>
      </c>
      <c r="F38" s="2"/>
      <c r="G38" s="2" t="s">
        <v>116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ht="14.85" customHeight="1" x14ac:dyDescent="0.25">
      <c r="A39" s="11" t="s">
        <v>117</v>
      </c>
      <c r="B39" s="30" t="s">
        <v>207</v>
      </c>
      <c r="C39" s="22" cm="1">
        <f t="array" ref="C39">C4*C38</f>
        <v>43.654500000000006</v>
      </c>
      <c r="D39" s="2" t="s">
        <v>118</v>
      </c>
      <c r="E39" s="2" t="s">
        <v>119</v>
      </c>
      <c r="F39" s="2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ht="14.85" customHeight="1" x14ac:dyDescent="0.25">
      <c r="A40" s="11" t="s">
        <v>120</v>
      </c>
      <c r="B40" s="30" t="s">
        <v>206</v>
      </c>
      <c r="C40" s="23">
        <f>C39/C35</f>
        <v>0.459521052631579</v>
      </c>
      <c r="D40" s="2" t="s">
        <v>121</v>
      </c>
      <c r="E40" s="2" t="s">
        <v>122</v>
      </c>
      <c r="F40" s="2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ht="14.85" customHeight="1" x14ac:dyDescent="0.25">
      <c r="A41" s="12" t="s">
        <v>143</v>
      </c>
      <c r="B41" s="30" t="s">
        <v>205</v>
      </c>
      <c r="C41" s="24">
        <v>-0.08</v>
      </c>
      <c r="D41" s="2" t="s">
        <v>18</v>
      </c>
      <c r="E41" s="2" t="s">
        <v>123</v>
      </c>
      <c r="F41" s="2"/>
      <c r="G41" s="2" t="s">
        <v>124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  <row r="42" spans="1:19" ht="14.85" customHeight="1" x14ac:dyDescent="0.25">
      <c r="A42" s="12" t="s">
        <v>181</v>
      </c>
      <c r="B42" s="30" t="s">
        <v>206</v>
      </c>
      <c r="C42" s="25">
        <f>C40/(C54-C55)</f>
        <v>0.31800764887998545</v>
      </c>
      <c r="D42" s="3"/>
      <c r="E42" s="2" t="s">
        <v>125</v>
      </c>
      <c r="F42" s="2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</row>
    <row r="43" spans="1:19" ht="14.85" customHeight="1" x14ac:dyDescent="0.25">
      <c r="A43" s="11" t="s">
        <v>126</v>
      </c>
      <c r="B43" s="30" t="s">
        <v>206</v>
      </c>
      <c r="C43" s="26">
        <v>0.25</v>
      </c>
      <c r="D43" s="3"/>
      <c r="E43" s="2" t="s">
        <v>127</v>
      </c>
      <c r="F43" s="2"/>
      <c r="G43" s="5" t="s">
        <v>189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</row>
    <row r="44" spans="1:19" ht="14.85" customHeight="1" x14ac:dyDescent="0.25">
      <c r="A44" s="12" t="s">
        <v>128</v>
      </c>
      <c r="B44" s="30" t="s">
        <v>206</v>
      </c>
      <c r="C44" s="26">
        <v>0.7</v>
      </c>
      <c r="D44" s="2" t="s">
        <v>129</v>
      </c>
      <c r="E44" s="2" t="s">
        <v>130</v>
      </c>
      <c r="F44" s="2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</row>
    <row r="45" spans="1:19" ht="14.85" customHeight="1" x14ac:dyDescent="0.25">
      <c r="A45" s="12" t="s">
        <v>190</v>
      </c>
      <c r="B45" s="30" t="s">
        <v>206</v>
      </c>
      <c r="C45" s="26">
        <v>0.23</v>
      </c>
      <c r="D45" s="5" t="s">
        <v>18</v>
      </c>
      <c r="E45" s="5" t="s">
        <v>191</v>
      </c>
      <c r="F45" s="2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</row>
    <row r="46" spans="1:19" ht="14.85" customHeight="1" x14ac:dyDescent="0.25">
      <c r="A46" s="11" t="s">
        <v>131</v>
      </c>
      <c r="B46" s="30" t="s">
        <v>206</v>
      </c>
      <c r="C46" s="26">
        <v>0.3</v>
      </c>
      <c r="D46" s="2" t="s">
        <v>18</v>
      </c>
      <c r="E46" s="2" t="s">
        <v>132</v>
      </c>
      <c r="F46" s="2"/>
      <c r="G46" s="2" t="s">
        <v>133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</row>
    <row r="47" spans="1:19" ht="14.85" customHeight="1" x14ac:dyDescent="0.25">
      <c r="A47" s="11" t="s">
        <v>134</v>
      </c>
      <c r="B47" s="30" t="s">
        <v>205</v>
      </c>
      <c r="C47" s="26">
        <v>0.43</v>
      </c>
      <c r="D47" s="2" t="s">
        <v>18</v>
      </c>
      <c r="E47" s="2" t="s">
        <v>135</v>
      </c>
      <c r="F47" s="2"/>
      <c r="G47" s="2" t="s">
        <v>124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</row>
    <row r="48" spans="1:19" ht="14.85" customHeight="1" x14ac:dyDescent="0.25">
      <c r="A48" s="12" t="s">
        <v>159</v>
      </c>
      <c r="B48" s="30" t="s">
        <v>206</v>
      </c>
      <c r="C48" s="26">
        <v>0.19600000000000001</v>
      </c>
      <c r="D48" s="2" t="s">
        <v>81</v>
      </c>
      <c r="E48" s="2" t="s">
        <v>136</v>
      </c>
      <c r="F48" s="2"/>
      <c r="G48" s="2" t="s">
        <v>137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</row>
    <row r="49" spans="1:19" ht="14.85" customHeight="1" x14ac:dyDescent="0.25">
      <c r="A49" s="12" t="s">
        <v>158</v>
      </c>
      <c r="B49" s="30" t="s">
        <v>206</v>
      </c>
      <c r="C49" s="26">
        <v>0.53900000000000003</v>
      </c>
      <c r="D49" s="5" t="s">
        <v>81</v>
      </c>
      <c r="E49" s="2"/>
      <c r="F49" s="2"/>
      <c r="G49" s="2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</row>
    <row r="50" spans="1:19" ht="14.85" customHeight="1" x14ac:dyDescent="0.25">
      <c r="A50" s="12" t="s">
        <v>165</v>
      </c>
      <c r="B50" s="30" t="s">
        <v>206</v>
      </c>
      <c r="C50" s="27">
        <f>C49/C48</f>
        <v>2.75</v>
      </c>
      <c r="D50" s="2" t="s">
        <v>18</v>
      </c>
      <c r="E50" s="2" t="s">
        <v>138</v>
      </c>
      <c r="F50" s="2"/>
      <c r="G50" s="2" t="s">
        <v>139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</row>
    <row r="51" spans="1:19" ht="14.85" customHeight="1" x14ac:dyDescent="0.25">
      <c r="A51" s="13" t="s">
        <v>140</v>
      </c>
      <c r="B51" s="30" t="s">
        <v>205</v>
      </c>
      <c r="C51" s="27">
        <v>0.65</v>
      </c>
      <c r="D51" s="6" t="s">
        <v>18</v>
      </c>
      <c r="E51" s="6" t="s">
        <v>141</v>
      </c>
      <c r="F51" s="6" t="s">
        <v>192</v>
      </c>
      <c r="G51" s="5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spans="1:19" ht="14.85" customHeight="1" x14ac:dyDescent="0.25">
      <c r="A52" s="13" t="s">
        <v>187</v>
      </c>
      <c r="B52" s="30" t="s">
        <v>205</v>
      </c>
      <c r="C52" s="27">
        <f>1/(PI()*C51*C50)</f>
        <v>0.17807546080212067</v>
      </c>
      <c r="D52" s="6" t="s">
        <v>18</v>
      </c>
      <c r="E52" s="6" t="s">
        <v>188</v>
      </c>
      <c r="F52" s="6"/>
      <c r="G52" s="5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</row>
    <row r="53" spans="1:19" ht="14.85" customHeight="1" x14ac:dyDescent="0.25">
      <c r="A53" s="14" t="s">
        <v>144</v>
      </c>
      <c r="B53" s="30" t="s">
        <v>206</v>
      </c>
      <c r="C53" s="28">
        <v>0.15</v>
      </c>
      <c r="D53" s="8" t="s">
        <v>18</v>
      </c>
      <c r="E53" s="3" t="s">
        <v>145</v>
      </c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</row>
    <row r="54" spans="1:19" ht="14.85" customHeight="1" x14ac:dyDescent="0.25">
      <c r="A54" s="13" t="s">
        <v>148</v>
      </c>
      <c r="B54" s="30" t="s">
        <v>206</v>
      </c>
      <c r="C54" s="28">
        <v>1.5</v>
      </c>
      <c r="D54" s="3" t="s">
        <v>81</v>
      </c>
      <c r="E54" s="3" t="s">
        <v>146</v>
      </c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</row>
    <row r="55" spans="1:19" ht="14.85" customHeight="1" x14ac:dyDescent="0.25">
      <c r="A55" s="13" t="s">
        <v>150</v>
      </c>
      <c r="B55" s="30" t="s">
        <v>206</v>
      </c>
      <c r="C55" s="28">
        <v>5.5E-2</v>
      </c>
      <c r="D55" s="3" t="s">
        <v>81</v>
      </c>
      <c r="E55" s="6" t="s">
        <v>151</v>
      </c>
      <c r="F55" s="6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</row>
    <row r="56" spans="1:19" ht="14.85" customHeight="1" x14ac:dyDescent="0.25">
      <c r="A56" s="13" t="s">
        <v>149</v>
      </c>
      <c r="B56" s="30" t="s">
        <v>206</v>
      </c>
      <c r="C56" s="28">
        <v>1</v>
      </c>
      <c r="D56" s="6" t="s">
        <v>81</v>
      </c>
      <c r="E56" s="6" t="s">
        <v>153</v>
      </c>
      <c r="F56" s="6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</row>
    <row r="57" spans="1:19" ht="14.85" customHeight="1" x14ac:dyDescent="0.25">
      <c r="A57" s="13" t="s">
        <v>152</v>
      </c>
      <c r="B57" s="30" t="s">
        <v>206</v>
      </c>
      <c r="C57" s="28">
        <v>0.24299999999999999</v>
      </c>
      <c r="D57" s="6" t="s">
        <v>121</v>
      </c>
      <c r="E57" s="6" t="s">
        <v>154</v>
      </c>
      <c r="F57" s="6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</row>
    <row r="58" spans="1:19" ht="14.85" customHeight="1" x14ac:dyDescent="0.25">
      <c r="A58" s="13" t="s">
        <v>161</v>
      </c>
      <c r="B58" s="30" t="s">
        <v>206</v>
      </c>
      <c r="C58" s="28">
        <v>0.14000000000000001</v>
      </c>
      <c r="D58" s="6" t="s">
        <v>18</v>
      </c>
      <c r="E58" s="6" t="s">
        <v>155</v>
      </c>
      <c r="F58" s="6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</row>
    <row r="59" spans="1:19" ht="14.85" customHeight="1" x14ac:dyDescent="0.25">
      <c r="A59" s="13" t="s">
        <v>156</v>
      </c>
      <c r="B59" s="30" t="s">
        <v>206</v>
      </c>
      <c r="C59" s="28">
        <v>0.255</v>
      </c>
      <c r="D59" s="6" t="s">
        <v>18</v>
      </c>
      <c r="E59" s="6" t="s">
        <v>157</v>
      </c>
      <c r="F59" s="6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</row>
    <row r="60" spans="1:19" ht="14.85" customHeight="1" x14ac:dyDescent="0.25">
      <c r="A60" s="13" t="s">
        <v>160</v>
      </c>
      <c r="B60" s="30" t="s">
        <v>206</v>
      </c>
      <c r="C60" s="28">
        <v>0.1</v>
      </c>
      <c r="D60" s="6" t="s">
        <v>18</v>
      </c>
      <c r="E60" s="6" t="s">
        <v>201</v>
      </c>
      <c r="F60" s="6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</row>
    <row r="61" spans="1:19" ht="14.85" customHeight="1" x14ac:dyDescent="0.25">
      <c r="A61" s="13" t="s">
        <v>162</v>
      </c>
      <c r="B61" s="30" t="s">
        <v>206</v>
      </c>
      <c r="C61" s="28">
        <v>0.3</v>
      </c>
      <c r="D61" s="6" t="s">
        <v>18</v>
      </c>
      <c r="E61" s="6" t="s">
        <v>202</v>
      </c>
      <c r="F61" s="6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</row>
    <row r="62" spans="1:19" ht="14.85" customHeight="1" x14ac:dyDescent="0.25">
      <c r="A62" s="13" t="s">
        <v>163</v>
      </c>
      <c r="B62" s="30" t="s">
        <v>206</v>
      </c>
      <c r="C62" s="28">
        <v>0.16200000000000001</v>
      </c>
      <c r="D62" s="6" t="s">
        <v>81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</row>
    <row r="63" spans="1:19" ht="14.85" customHeight="1" x14ac:dyDescent="0.25">
      <c r="A63" s="13" t="s">
        <v>164</v>
      </c>
      <c r="B63" s="30" t="s">
        <v>206</v>
      </c>
      <c r="C63" s="28">
        <v>0.24299999999999999</v>
      </c>
      <c r="D63" s="6" t="s">
        <v>81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</row>
    <row r="64" spans="1:19" ht="14.85" customHeight="1" x14ac:dyDescent="0.25">
      <c r="A64" s="13" t="s">
        <v>166</v>
      </c>
      <c r="B64" s="30" t="s">
        <v>206</v>
      </c>
      <c r="C64" s="27">
        <f>C63/C62</f>
        <v>1.5</v>
      </c>
      <c r="D64" s="6" t="s">
        <v>18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</row>
    <row r="65" spans="1:19" ht="14.85" customHeight="1" x14ac:dyDescent="0.25">
      <c r="A65" s="13" t="s">
        <v>182</v>
      </c>
      <c r="B65" s="30" t="s">
        <v>206</v>
      </c>
      <c r="C65" s="28">
        <v>0.1</v>
      </c>
      <c r="D65" s="6" t="s">
        <v>18</v>
      </c>
      <c r="E65" s="6" t="s">
        <v>201</v>
      </c>
      <c r="F65" s="6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</row>
    <row r="66" spans="1:19" ht="14.85" customHeight="1" x14ac:dyDescent="0.25">
      <c r="A66" s="13" t="s">
        <v>183</v>
      </c>
      <c r="B66" s="30" t="s">
        <v>206</v>
      </c>
      <c r="C66" s="28">
        <v>0.3</v>
      </c>
      <c r="D66" s="6" t="s">
        <v>18</v>
      </c>
      <c r="E66" s="6" t="s">
        <v>202</v>
      </c>
      <c r="F66" s="6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</row>
    <row r="67" spans="1:19" ht="14.85" customHeight="1" x14ac:dyDescent="0.25">
      <c r="A67" s="13" t="s">
        <v>167</v>
      </c>
      <c r="B67" s="30" t="s">
        <v>206</v>
      </c>
      <c r="C67" s="28">
        <v>0.05</v>
      </c>
      <c r="D67" s="6" t="s">
        <v>81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</row>
    <row r="68" spans="1:19" ht="14.85" customHeight="1" x14ac:dyDescent="0.25">
      <c r="A68" s="13" t="s">
        <v>168</v>
      </c>
      <c r="B68" s="30" t="s">
        <v>206</v>
      </c>
      <c r="C68" s="28">
        <v>1.4999999999999999E-2</v>
      </c>
      <c r="D68" s="6" t="s">
        <v>81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</row>
    <row r="69" spans="1:19" ht="14.85" customHeight="1" x14ac:dyDescent="0.25">
      <c r="A69" s="13" t="s">
        <v>169</v>
      </c>
      <c r="B69" s="30" t="s">
        <v>206</v>
      </c>
      <c r="C69" s="28">
        <v>0.155</v>
      </c>
      <c r="D69" s="6" t="s">
        <v>81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</row>
    <row r="70" spans="1:19" ht="14.85" customHeight="1" x14ac:dyDescent="0.25">
      <c r="A70" s="13" t="s">
        <v>170</v>
      </c>
      <c r="B70" s="30" t="s">
        <v>206</v>
      </c>
      <c r="C70" s="28">
        <v>1.6E-2</v>
      </c>
      <c r="D70" s="6" t="s">
        <v>81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spans="1:19" ht="14.85" customHeight="1" x14ac:dyDescent="0.25">
      <c r="A71" s="13" t="s">
        <v>171</v>
      </c>
      <c r="B71" s="30" t="s">
        <v>206</v>
      </c>
      <c r="C71" s="28">
        <v>0.05</v>
      </c>
      <c r="D71" s="6" t="s">
        <v>81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spans="1:19" ht="14.85" customHeight="1" x14ac:dyDescent="0.25">
      <c r="A72" s="13" t="s">
        <v>172</v>
      </c>
      <c r="B72" s="30" t="s">
        <v>206</v>
      </c>
      <c r="C72" s="28">
        <v>1.4999999999999999E-2</v>
      </c>
      <c r="D72" s="6" t="s">
        <v>81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</row>
    <row r="73" spans="1:19" ht="14.85" customHeight="1" x14ac:dyDescent="0.25">
      <c r="A73" s="13" t="s">
        <v>173</v>
      </c>
      <c r="B73" s="30" t="s">
        <v>206</v>
      </c>
      <c r="C73" s="28">
        <v>0.09</v>
      </c>
      <c r="D73" s="6" t="s">
        <v>81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</row>
    <row r="74" spans="1:19" ht="14.85" customHeight="1" x14ac:dyDescent="0.25">
      <c r="A74" s="13" t="s">
        <v>174</v>
      </c>
      <c r="B74" s="30" t="s">
        <v>206</v>
      </c>
      <c r="C74" s="28">
        <v>0.01</v>
      </c>
      <c r="D74" s="6" t="s">
        <v>81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</row>
    <row r="75" spans="1:19" ht="14.85" customHeight="1" x14ac:dyDescent="0.25">
      <c r="A75" s="13" t="s">
        <v>175</v>
      </c>
      <c r="B75" s="30" t="s">
        <v>205</v>
      </c>
      <c r="C75" s="28">
        <v>0.25</v>
      </c>
      <c r="D75" s="6" t="s">
        <v>18</v>
      </c>
      <c r="E75" s="6" t="s">
        <v>176</v>
      </c>
      <c r="F75" s="6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</row>
    <row r="76" spans="1:19" ht="14.85" customHeight="1" x14ac:dyDescent="0.25">
      <c r="A76" s="13" t="s">
        <v>177</v>
      </c>
      <c r="B76" s="30" t="s">
        <v>205</v>
      </c>
      <c r="C76" s="28">
        <v>0.3</v>
      </c>
      <c r="D76" s="6" t="s">
        <v>18</v>
      </c>
      <c r="E76" s="6" t="s">
        <v>178</v>
      </c>
      <c r="F76" s="6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</row>
    <row r="77" spans="1:19" ht="14.85" customHeight="1" x14ac:dyDescent="0.25">
      <c r="A77" s="13" t="s">
        <v>193</v>
      </c>
      <c r="B77" s="30" t="s">
        <v>205</v>
      </c>
      <c r="C77" s="28">
        <v>0.1</v>
      </c>
      <c r="D77" s="6" t="s">
        <v>18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</row>
    <row r="78" spans="1:19" ht="14.85" customHeight="1" x14ac:dyDescent="0.25">
      <c r="A78" s="14" t="s">
        <v>194</v>
      </c>
      <c r="B78" s="30" t="s">
        <v>206</v>
      </c>
      <c r="C78" s="28">
        <v>0.08</v>
      </c>
      <c r="D78" s="9" t="s">
        <v>195</v>
      </c>
      <c r="E78" s="3" t="s">
        <v>196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</row>
    <row r="79" spans="1:19" ht="14.85" customHeight="1" x14ac:dyDescent="0.25">
      <c r="A79" s="14" t="s">
        <v>197</v>
      </c>
      <c r="B79" s="30" t="s">
        <v>206</v>
      </c>
      <c r="C79" s="28">
        <v>0.1</v>
      </c>
      <c r="D79" s="9" t="s">
        <v>81</v>
      </c>
      <c r="E79" s="3" t="s">
        <v>199</v>
      </c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</row>
    <row r="80" spans="1:19" ht="14.85" customHeight="1" x14ac:dyDescent="0.25">
      <c r="A80" s="14" t="s">
        <v>198</v>
      </c>
      <c r="B80" s="30" t="s">
        <v>206</v>
      </c>
      <c r="C80" s="28">
        <v>0.04</v>
      </c>
      <c r="D80" s="9" t="s">
        <v>81</v>
      </c>
      <c r="E80" s="3" t="s">
        <v>200</v>
      </c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</row>
    <row r="81" spans="1:19" ht="14.85" customHeight="1" x14ac:dyDescent="0.25">
      <c r="A81" s="14"/>
      <c r="B81" s="31"/>
      <c r="C81" s="28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</row>
    <row r="82" spans="1:19" ht="14.85" customHeight="1" x14ac:dyDescent="0.25">
      <c r="A82" s="14"/>
      <c r="B82" s="31"/>
      <c r="C82" s="28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</row>
    <row r="83" spans="1:19" ht="14.85" customHeight="1" x14ac:dyDescent="0.25">
      <c r="A83" s="14"/>
      <c r="B83" s="31"/>
      <c r="C83" s="28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</row>
    <row r="84" spans="1:19" ht="14.85" customHeight="1" x14ac:dyDescent="0.25">
      <c r="A84" s="14"/>
      <c r="B84" s="31"/>
      <c r="C84" s="28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</row>
    <row r="85" spans="1:19" ht="14.85" customHeight="1" x14ac:dyDescent="0.25">
      <c r="A85" s="14"/>
      <c r="B85" s="31"/>
      <c r="C85" s="28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</row>
    <row r="86" spans="1:19" ht="14.85" customHeight="1" x14ac:dyDescent="0.25">
      <c r="A86" s="14"/>
      <c r="B86" s="31"/>
      <c r="C86" s="28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</row>
    <row r="87" spans="1:19" ht="14.85" customHeight="1" x14ac:dyDescent="0.25">
      <c r="A87" s="14"/>
      <c r="B87" s="31"/>
      <c r="C87" s="28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</row>
    <row r="88" spans="1:19" ht="14.85" customHeight="1" x14ac:dyDescent="0.25">
      <c r="A88" s="14"/>
      <c r="B88" s="31"/>
      <c r="C88" s="28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</row>
    <row r="89" spans="1:19" ht="14.85" customHeight="1" x14ac:dyDescent="0.25">
      <c r="A89" s="14"/>
      <c r="B89" s="31"/>
      <c r="C89" s="28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</row>
    <row r="90" spans="1:19" ht="14.85" customHeight="1" x14ac:dyDescent="0.25">
      <c r="A90" s="14"/>
      <c r="B90" s="31"/>
      <c r="C90" s="28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spans="1:19" ht="14.85" customHeight="1" x14ac:dyDescent="0.25">
      <c r="A91" s="14"/>
      <c r="B91" s="31"/>
      <c r="C91" s="28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</row>
    <row r="92" spans="1:19" ht="14.85" customHeight="1" x14ac:dyDescent="0.25">
      <c r="A92" s="14"/>
      <c r="B92" s="31"/>
      <c r="C92" s="28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</row>
    <row r="93" spans="1:19" ht="14.85" customHeight="1" x14ac:dyDescent="0.25">
      <c r="A93" s="14"/>
      <c r="B93" s="31"/>
      <c r="C93" s="28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</row>
    <row r="94" spans="1:19" ht="14.85" customHeight="1" x14ac:dyDescent="0.25">
      <c r="A94" s="14"/>
      <c r="B94" s="31"/>
      <c r="C94" s="28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</row>
    <row r="95" spans="1:19" ht="14.85" customHeight="1" x14ac:dyDescent="0.25">
      <c r="A95" s="14"/>
      <c r="B95" s="31"/>
      <c r="C95" s="28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</row>
    <row r="96" spans="1:19" ht="14.85" customHeight="1" x14ac:dyDescent="0.25">
      <c r="A96" s="14"/>
      <c r="B96" s="31"/>
      <c r="C96" s="28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</row>
    <row r="97" spans="1:19" ht="14.85" customHeight="1" x14ac:dyDescent="0.25">
      <c r="A97" s="14"/>
      <c r="B97" s="31"/>
      <c r="C97" s="28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</row>
    <row r="98" spans="1:19" ht="14.85" customHeight="1" x14ac:dyDescent="0.25">
      <c r="A98" s="14"/>
      <c r="B98" s="31"/>
      <c r="C98" s="28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</row>
    <row r="99" spans="1:19" ht="14.85" customHeight="1" x14ac:dyDescent="0.25">
      <c r="A99" s="14"/>
      <c r="B99" s="31"/>
      <c r="C99" s="28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</row>
    <row r="100" spans="1:19" ht="14.85" customHeight="1" x14ac:dyDescent="0.25">
      <c r="A100" s="14"/>
      <c r="B100" s="31"/>
      <c r="C100" s="28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</row>
    <row r="101" spans="1:19" ht="14.85" customHeight="1" x14ac:dyDescent="0.25">
      <c r="A101" s="14"/>
      <c r="B101" s="31"/>
      <c r="C101" s="28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</row>
    <row r="102" spans="1:19" ht="14.85" customHeight="1" x14ac:dyDescent="0.25">
      <c r="A102" s="14"/>
      <c r="B102" s="31"/>
      <c r="C102" s="28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spans="1:19" ht="14.85" customHeight="1" x14ac:dyDescent="0.25">
      <c r="A103" s="14"/>
      <c r="B103" s="31"/>
      <c r="C103" s="28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spans="1:19" ht="14.85" customHeight="1" x14ac:dyDescent="0.25">
      <c r="A104" s="14"/>
      <c r="B104" s="31"/>
      <c r="C104" s="28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spans="1:19" ht="14.85" customHeight="1" x14ac:dyDescent="0.25">
      <c r="A105" s="14"/>
      <c r="B105" s="31"/>
      <c r="C105" s="28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spans="1:19" ht="14.85" customHeight="1" x14ac:dyDescent="0.25">
      <c r="A106" s="14"/>
      <c r="B106" s="31"/>
      <c r="C106" s="28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spans="1:19" ht="14.85" customHeight="1" x14ac:dyDescent="0.25">
      <c r="A107" s="14"/>
      <c r="B107" s="31"/>
      <c r="C107" s="28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spans="1:19" ht="14.85" customHeight="1" x14ac:dyDescent="0.25">
      <c r="A108" s="14"/>
      <c r="B108" s="31"/>
      <c r="C108" s="28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spans="1:19" ht="14.85" customHeight="1" x14ac:dyDescent="0.25">
      <c r="A109" s="14"/>
      <c r="B109" s="31"/>
      <c r="C109" s="2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spans="1:19" ht="14.85" customHeight="1" x14ac:dyDescent="0.25">
      <c r="A110" s="14"/>
      <c r="B110" s="31"/>
      <c r="C110" s="2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</row>
    <row r="111" spans="1:19" ht="14.85" customHeight="1" x14ac:dyDescent="0.25">
      <c r="A111" s="14"/>
      <c r="B111" s="31"/>
      <c r="C111" s="2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</row>
    <row r="112" spans="1:19" ht="14.85" customHeight="1" x14ac:dyDescent="0.25">
      <c r="A112" s="14"/>
      <c r="B112" s="31"/>
      <c r="C112" s="2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</row>
    <row r="113" spans="1:19" ht="14.85" customHeight="1" x14ac:dyDescent="0.25">
      <c r="A113" s="14"/>
      <c r="B113" s="31"/>
      <c r="C113" s="28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</row>
    <row r="114" spans="1:19" ht="14.85" customHeight="1" x14ac:dyDescent="0.25">
      <c r="A114" s="14"/>
      <c r="B114" s="31"/>
      <c r="C114" s="28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</row>
    <row r="115" spans="1:19" ht="14.85" customHeight="1" x14ac:dyDescent="0.25">
      <c r="A115" s="14"/>
      <c r="B115" s="31"/>
      <c r="C115" s="28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</row>
    <row r="116" spans="1:19" ht="14.85" customHeight="1" x14ac:dyDescent="0.25">
      <c r="A116" s="14"/>
      <c r="B116" s="31"/>
      <c r="C116" s="28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</row>
    <row r="117" spans="1:19" ht="14.85" customHeight="1" x14ac:dyDescent="0.25">
      <c r="A117" s="14"/>
      <c r="B117" s="31"/>
      <c r="C117" s="28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</row>
    <row r="118" spans="1:19" ht="14.85" customHeight="1" x14ac:dyDescent="0.25">
      <c r="A118" s="14"/>
      <c r="B118" s="31"/>
      <c r="C118" s="28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</row>
    <row r="119" spans="1:19" ht="14.85" customHeight="1" x14ac:dyDescent="0.25">
      <c r="A119" s="14"/>
      <c r="B119" s="31"/>
      <c r="C119" s="28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</row>
    <row r="120" spans="1:19" ht="14.85" customHeight="1" x14ac:dyDescent="0.25">
      <c r="A120" s="14"/>
      <c r="B120" s="31"/>
      <c r="C120" s="28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</row>
    <row r="121" spans="1:19" ht="14.85" customHeight="1" x14ac:dyDescent="0.25">
      <c r="A121" s="14"/>
      <c r="B121" s="31"/>
      <c r="C121" s="28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spans="1:19" ht="14.85" customHeight="1" x14ac:dyDescent="0.25">
      <c r="A122" s="14"/>
      <c r="B122" s="31"/>
      <c r="C122" s="28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spans="1:19" ht="14.85" customHeight="1" x14ac:dyDescent="0.25">
      <c r="A123" s="14"/>
      <c r="B123" s="31"/>
      <c r="C123" s="28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spans="1:19" ht="14.85" customHeight="1" x14ac:dyDescent="0.25">
      <c r="A124" s="14"/>
      <c r="B124" s="31"/>
      <c r="C124" s="28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spans="1:19" ht="14.85" customHeight="1" x14ac:dyDescent="0.25">
      <c r="A125" s="14"/>
      <c r="B125" s="31"/>
      <c r="C125" s="28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spans="1:19" ht="14.85" customHeight="1" x14ac:dyDescent="0.25">
      <c r="A126" s="14"/>
      <c r="B126" s="31"/>
      <c r="C126" s="28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spans="1:19" ht="14.85" customHeight="1" x14ac:dyDescent="0.25">
      <c r="A127" s="14"/>
      <c r="B127" s="31"/>
      <c r="C127" s="28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spans="1:19" ht="14.85" customHeight="1" x14ac:dyDescent="0.25">
      <c r="A128" s="14"/>
      <c r="B128" s="31"/>
      <c r="C128" s="28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spans="1:19" ht="14.85" customHeight="1" x14ac:dyDescent="0.25">
      <c r="A129" s="14"/>
      <c r="B129" s="31"/>
      <c r="C129" s="28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spans="1:19" ht="14.85" customHeight="1" x14ac:dyDescent="0.25">
      <c r="A130" s="14"/>
      <c r="B130" s="31"/>
      <c r="C130" s="28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spans="1:19" ht="14.85" customHeight="1" x14ac:dyDescent="0.25">
      <c r="A131" s="14"/>
      <c r="B131" s="31"/>
      <c r="C131" s="28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spans="1:19" ht="14.85" customHeight="1" x14ac:dyDescent="0.25">
      <c r="A132" s="14"/>
      <c r="B132" s="31"/>
      <c r="C132" s="28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Andrew Thomas Nery</cp:lastModifiedBy>
  <dcterms:modified xsi:type="dcterms:W3CDTF">2026-09-18T22:06:57Z</dcterms:modified>
</cp:coreProperties>
</file>