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0E73A382-3232-4803-8EBF-A3F50B3406C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D17" i="2" l="1"/>
  <c r="D18" i="2" s="1"/>
  <c r="D7" i="2"/>
  <c r="D26" i="2" s="1"/>
  <c r="C17" i="2"/>
  <c r="C18" i="2" s="1"/>
  <c r="C7" i="2"/>
  <c r="C26" i="2" s="1"/>
  <c r="B7" i="2"/>
  <c r="B26" i="2" s="1"/>
  <c r="B17" i="2"/>
  <c r="B18" i="2" s="1"/>
  <c r="D19" i="2" l="1"/>
  <c r="D20" i="2"/>
  <c r="C19" i="2"/>
  <c r="C20" i="2"/>
  <c r="B19" i="2"/>
  <c r="B20" i="2"/>
  <c r="C24" i="2" l="1"/>
  <c r="C27" i="2" s="1"/>
  <c r="C28" i="2" s="1"/>
  <c r="C29" i="2" s="1"/>
  <c r="D24" i="2"/>
  <c r="D27" i="2" s="1"/>
  <c r="D28" i="2" s="1"/>
  <c r="D29" i="2" s="1"/>
  <c r="B24" i="2"/>
  <c r="B27" i="2" s="1"/>
  <c r="B28" i="2" s="1"/>
  <c r="B29" i="2" s="1"/>
</calcChain>
</file>

<file path=xl/sharedStrings.xml><?xml version="1.0" encoding="utf-8"?>
<sst xmlns="http://schemas.openxmlformats.org/spreadsheetml/2006/main" count="1111" uniqueCount="542">
  <si>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</si>
  <si>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</si>
  <si>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</si>
  <si>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</si>
  <si>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</si>
  <si>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</si>
  <si>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</si>
  <si>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</si>
  <si>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</si>
  <si>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</si>
  <si>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</si>
  <si>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</si>
  <si>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</si>
  <si>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</si>
  <si>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</si>
  <si>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</si>
  <si>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</si>
  <si>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</si>
  <si>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</si>
  <si>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</si>
  <si>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</si>
  <si>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</si>
  <si>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</si>
  <si>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</si>
  <si>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</si>
  <si>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</si>
  <si>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</si>
  <si>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</si>
  <si>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</si>
  <si>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</si>
  <si>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</si>
  <si>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</si>
  <si>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</si>
  <si>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</si>
  <si>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</si>
  <si>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</si>
  <si>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</si>
  <si>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</si>
  <si>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</si>
  <si>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</si>
  <si>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</si>
  <si>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</si>
  <si>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</si>
  <si>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</si>
  <si>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</si>
  <si>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</si>
  <si>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</si>
  <si>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</si>
  <si>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</si>
  <si>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</si>
  <si>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</si>
  <si>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</si>
  <si>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</si>
  <si>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</si>
  <si>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</si>
  <si>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</si>
  <si>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</si>
  <si>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</si>
  <si>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</si>
  <si>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</si>
  <si>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</si>
  <si>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</si>
  <si>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</si>
  <si>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</si>
  <si>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</si>
  <si>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</si>
  <si>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</si>
  <si>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</si>
  <si>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</si>
  <si>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</si>
  <si>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</si>
  <si>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</si>
  <si>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</si>
  <si>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</si>
  <si>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</si>
  <si>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</si>
  <si>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</si>
  <si>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</si>
  <si>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</si>
  <si>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</si>
  <si>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</si>
  <si>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</si>
  <si>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</si>
  <si>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</si>
  <si>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</si>
  <si>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</si>
  <si>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</si>
  <si>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</si>
  <si>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</si>
  <si>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</si>
  <si>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</si>
  <si>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</si>
  <si>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</si>
  <si>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</si>
  <si>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</si>
  <si>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</si>
  <si>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</si>
  <si>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</si>
  <si>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</si>
  <si>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</si>
  <si>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</si>
  <si>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</si>
  <si>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</si>
  <si>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</si>
  <si>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</si>
  <si>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</si>
  <si>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</si>
  <si>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</si>
  <si>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</si>
  <si>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</si>
  <si>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</si>
  <si>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</si>
  <si>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</si>
  <si>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</si>
  <si>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</si>
  <si>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</si>
  <si>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</si>
  <si>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</si>
  <si>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</si>
  <si>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</si>
  <si>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</si>
  <si>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</si>
  <si>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</si>
  <si>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</si>
  <si>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</si>
  <si>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</si>
  <si>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</si>
  <si>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</si>
  <si>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</si>
  <si>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</si>
  <si>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</si>
  <si>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</si>
  <si>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</si>
  <si>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</si>
  <si>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</si>
  <si>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</si>
  <si>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</si>
  <si>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</si>
  <si>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</si>
  <si>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</si>
  <si>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</si>
  <si>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</si>
  <si>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</si>
  <si>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</si>
  <si>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</si>
  <si>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</si>
  <si>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</si>
  <si>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</si>
  <si>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</si>
  <si>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</si>
  <si>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</si>
  <si>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</si>
  <si>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</si>
  <si>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</si>
  <si>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</si>
  <si>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</si>
  <si>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</si>
  <si>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</si>
  <si>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</si>
  <si>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</si>
  <si>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</si>
  <si>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</si>
  <si>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</si>
  <si>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</si>
  <si>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</si>
  <si>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</si>
  <si>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</si>
  <si>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</si>
  <si>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</si>
  <si>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</si>
  <si>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</si>
  <si>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</si>
  <si>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</si>
  <si>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</si>
  <si>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</si>
  <si>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</si>
  <si>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</si>
  <si>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</si>
  <si>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</si>
  <si>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</si>
  <si>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</si>
  <si>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</si>
  <si>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</si>
  <si>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</si>
  <si>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</si>
  <si>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</si>
  <si>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</si>
  <si>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</si>
  <si>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</si>
  <si>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</si>
  <si>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</si>
  <si>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</si>
  <si>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</si>
  <si>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</si>
  <si>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</si>
  <si>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</si>
  <si>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</si>
  <si>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</si>
  <si>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</si>
  <si>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</si>
  <si>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</si>
  <si>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</si>
  <si>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</si>
  <si>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</si>
  <si>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</si>
  <si>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</si>
  <si>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</si>
  <si>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</si>
  <si>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</si>
  <si>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</si>
  <si>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</si>
  <si>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</si>
  <si>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</si>
  <si>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</si>
  <si>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</si>
  <si>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</si>
  <si>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</si>
  <si>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</si>
  <si>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</si>
  <si>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</si>
  <si>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</si>
  <si>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</si>
  <si>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</si>
  <si>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</si>
  <si>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</si>
  <si>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</si>
  <si>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</si>
  <si>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</si>
  <si>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</si>
  <si>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</si>
  <si>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</si>
  <si>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</si>
  <si>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</si>
  <si>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</si>
  <si>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</si>
  <si>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</si>
  <si>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</si>
  <si>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</si>
  <si>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</si>
  <si>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</si>
  <si>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</si>
  <si>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</si>
  <si>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</si>
  <si>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</si>
  <si>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</si>
  <si>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</si>
  <si>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</si>
  <si>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</si>
  <si>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</si>
  <si>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</si>
  <si>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</si>
  <si>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</si>
  <si>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</si>
  <si>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</si>
  <si>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</si>
  <si>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</si>
  <si>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</si>
  <si>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</si>
  <si>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</si>
  <si>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</si>
  <si>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</si>
  <si>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</si>
  <si>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</si>
  <si>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</si>
  <si>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</si>
  <si>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</si>
  <si>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</si>
  <si>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</si>
  <si>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</si>
  <si>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</si>
  <si>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</si>
  <si>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</si>
  <si>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</si>
  <si>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</si>
  <si>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</si>
  <si>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</si>
  <si>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</si>
  <si>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</si>
  <si>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</si>
  <si>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</si>
  <si>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</si>
  <si>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</si>
  <si>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</si>
  <si>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</si>
  <si>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</si>
  <si>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</si>
  <si>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</si>
  <si>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</si>
  <si>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</si>
  <si>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</si>
  <si>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</si>
  <si>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</si>
  <si>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</si>
  <si>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</si>
  <si>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</si>
  <si>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</si>
  <si>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</si>
  <si>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</si>
  <si>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</si>
  <si>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</si>
  <si>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</si>
  <si>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</si>
  <si>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</si>
  <si>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</si>
  <si>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</si>
  <si>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</si>
  <si>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</si>
  <si>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</si>
  <si>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</si>
  <si>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</si>
  <si>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</si>
  <si>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</si>
  <si>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</si>
  <si>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</si>
  <si>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</si>
  <si>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</si>
  <si>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</si>
  <si>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</si>
  <si>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</si>
  <si>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</si>
  <si>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</si>
  <si>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</si>
  <si>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</si>
  <si>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</si>
  <si>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</si>
  <si>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</si>
  <si>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</si>
  <si>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</si>
  <si>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</si>
  <si>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</si>
  <si>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</si>
  <si>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</si>
  <si>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</si>
  <si>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</si>
  <si>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</si>
  <si>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</si>
  <si>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</si>
  <si>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</si>
  <si>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</si>
  <si>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</si>
  <si>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</si>
  <si>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</si>
  <si>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</si>
  <si>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</si>
  <si>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</si>
  <si>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</si>
  <si>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</si>
  <si>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</si>
  <si>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</si>
  <si>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</si>
  <si>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</si>
  <si>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</si>
  <si>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</si>
  <si>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</si>
  <si>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</si>
  <si>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</si>
  <si>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</si>
  <si>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</si>
  <si>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</si>
  <si>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</si>
  <si>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</si>
  <si>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</si>
  <si>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</si>
  <si>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</si>
  <si>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</si>
  <si>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</si>
  <si>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</si>
  <si>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</si>
  <si>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</si>
  <si>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</si>
  <si>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</si>
  <si>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</si>
  <si>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</si>
  <si>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</si>
  <si>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</si>
  <si>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</si>
  <si>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</si>
  <si>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</si>
  <si>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</si>
  <si>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</si>
  <si>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</si>
  <si>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</si>
  <si>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</si>
  <si>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</si>
  <si>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</si>
  <si>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</si>
  <si>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</si>
  <si>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</si>
  <si>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</si>
  <si>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</si>
  <si>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</si>
  <si>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</si>
  <si>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</si>
  <si>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</si>
  <si>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</si>
  <si>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</si>
  <si>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</si>
  <si>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</si>
  <si>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</si>
  <si>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</si>
  <si>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</si>
  <si>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</si>
  <si>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</si>
  <si>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V_max_level_A8</t>
  </si>
  <si>
    <t>V_endurance</t>
  </si>
  <si>
    <t>V_range</t>
  </si>
  <si>
    <t>endurance_min</t>
  </si>
  <si>
    <t>range_km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</si>
  <si>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</si>
  <si>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</si>
  <si>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</si>
  <si>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</si>
  <si>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</si>
  <si>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</si>
  <si>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</si>
  <si>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</si>
  <si>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</si>
  <si>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</si>
  <si>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</si>
  <si>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</si>
  <si>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</si>
  <si>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</si>
  <si>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</si>
  <si>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</si>
  <si>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</si>
  <si>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</si>
  <si>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</si>
  <si>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</si>
  <si>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</si>
  <si>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</si>
  <si>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</si>
  <si>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</si>
  <si>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</si>
  <si>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</si>
  <si>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</si>
  <si>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</si>
  <si>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</si>
  <si>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</si>
  <si>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</si>
  <si>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</si>
  <si>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</si>
  <si>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</si>
  <si>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</si>
  <si>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</si>
  <si>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</si>
  <si>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</si>
  <si>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</si>
  <si>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</si>
  <si>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</si>
  <si>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</si>
  <si>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</si>
  <si>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</si>
  <si>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</si>
  <si>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</si>
  <si>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</si>
  <si>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</si>
  <si>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</si>
  <si>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</si>
  <si>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</si>
  <si>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</si>
  <si>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</si>
  <si>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</si>
  <si>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</si>
  <si>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</si>
  <si>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</si>
  <si>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</si>
  <si>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</si>
  <si>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</si>
  <si>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</si>
  <si>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</si>
  <si>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</si>
  <si>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</si>
  <si>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</si>
  <si>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</si>
  <si>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</si>
  <si>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</si>
  <si>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</si>
  <si>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</si>
  <si>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</si>
  <si>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</si>
  <si>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</si>
  <si>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</si>
  <si>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</si>
  <si>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</si>
  <si>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</si>
  <si>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</si>
  <si>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</si>
  <si>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</si>
  <si>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</si>
  <si>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</si>
  <si>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</si>
  <si>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</si>
  <si>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</si>
  <si>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</si>
  <si>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</si>
  <si>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</si>
  <si>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</si>
  <si>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</si>
  <si>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</si>
  <si>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</si>
  <si>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</si>
  <si>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</si>
  <si>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</si>
  <si>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</si>
  <si>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</si>
  <si>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</si>
  <si>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</si>
  <si>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</si>
  <si>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</si>
  <si>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</si>
  <si>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</si>
  <si>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</si>
  <si>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</si>
  <si>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</si>
  <si>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</si>
  <si>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</si>
  <si>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</si>
  <si>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</si>
  <si>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</si>
  <si>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</si>
  <si>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</si>
  <si>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</si>
  <si>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</si>
  <si>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</si>
  <si>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</si>
  <si>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</si>
  <si>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</si>
  <si>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</si>
  <si>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fs_plywood</t>
  </si>
  <si>
    <t>V_max_level_A8_analytic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</si>
  <si>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</si>
  <si>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</si>
  <si>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</si>
  <si>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</si>
  <si>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</si>
  <si>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</si>
  <si>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</si>
  <si>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MoS_gear_normal</t>
  </si>
  <si>
    <t>MoS_gear_shear</t>
  </si>
  <si>
    <t>maneuver</t>
  </si>
  <si>
    <t>FROM https://www.metsagroup.com/globalassets/metsa-wood/dop-documents/dop_metsa_wood_birch_plywood_muf_2019-12-2_en.pdf</t>
  </si>
  <si>
    <t>Written by writeOutputs.m on 2026-10-07 11:25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</si>
</sst>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9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1" fontId="0" fillId="8" borderId="1" xfId="0" applyNumberFormat="1" applyFill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6" totalsRowShown="0">
  <autoFilter ref="A1:F146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0"/>
  <sheetViews>
    <sheetView topLeftCell="B100" zoomScale="115" zoomScaleNormal="115" workbookViewId="0">
      <selection activeCell="E115" sqref="E115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0.1043</v>
      </c>
      <c r="D39" s="20" t="s">
        <v>59</v>
      </c>
      <c r="E39" t="s">
        <v>523</v>
      </c>
    </row>
    <row r="40" spans="1:5" x14ac:dyDescent="0.25">
      <c r="A40" t="s">
        <v>89</v>
      </c>
      <c r="B40" s="20" t="s">
        <v>56</v>
      </c>
      <c r="C40" s="20">
        <v>1.6E-2</v>
      </c>
      <c r="D40" s="20" t="s">
        <v>59</v>
      </c>
      <c r="E40" t="s">
        <v>521</v>
      </c>
    </row>
    <row r="41" spans="1:5" x14ac:dyDescent="0.25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25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25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25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25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25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25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25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25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25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25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25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25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25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25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25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25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25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25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25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25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25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25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25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25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25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25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25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25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25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25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25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25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25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25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25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25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25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25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25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25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25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25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25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25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25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25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25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25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25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25">
      <c r="A91" t="s">
        <v>246</v>
      </c>
      <c r="B91" s="20" t="s">
        <v>247</v>
      </c>
      <c r="C91" s="20">
        <v>1</v>
      </c>
      <c r="D91" s="20" t="s">
        <v>8</v>
      </c>
      <c r="E91" t="s">
        <v>248</v>
      </c>
    </row>
    <row r="92" spans="1:5" x14ac:dyDescent="0.25">
      <c r="A92" t="s">
        <v>249</v>
      </c>
      <c r="B92" s="20" t="s">
        <v>247</v>
      </c>
      <c r="C92" s="20">
        <v>1.2</v>
      </c>
      <c r="D92" s="20" t="s">
        <v>8</v>
      </c>
      <c r="E92" t="s">
        <v>250</v>
      </c>
    </row>
    <row r="93" spans="1:5" x14ac:dyDescent="0.25">
      <c r="A93" t="s">
        <v>251</v>
      </c>
      <c r="B93" s="20" t="s">
        <v>247</v>
      </c>
      <c r="C93" s="20">
        <v>1</v>
      </c>
      <c r="D93" s="20" t="s">
        <v>8</v>
      </c>
      <c r="E93" t="s">
        <v>252</v>
      </c>
    </row>
    <row r="94" spans="1:5" x14ac:dyDescent="0.25">
      <c r="A94" t="s">
        <v>253</v>
      </c>
      <c r="B94" s="20" t="s">
        <v>247</v>
      </c>
      <c r="C94" s="20">
        <v>0.85</v>
      </c>
      <c r="D94" s="20" t="s">
        <v>8</v>
      </c>
      <c r="E94" t="s">
        <v>254</v>
      </c>
    </row>
    <row r="95" spans="1:5" x14ac:dyDescent="0.25">
      <c r="A95" t="s">
        <v>259</v>
      </c>
      <c r="B95" s="20" t="s">
        <v>247</v>
      </c>
      <c r="C95" s="20">
        <v>5.5</v>
      </c>
      <c r="D95" s="20" t="s">
        <v>188</v>
      </c>
      <c r="E95" t="s">
        <v>260</v>
      </c>
    </row>
    <row r="96" spans="1:5" x14ac:dyDescent="0.25">
      <c r="A96" t="s">
        <v>261</v>
      </c>
      <c r="B96" s="20" t="s">
        <v>7</v>
      </c>
      <c r="C96" s="20">
        <v>-0.66</v>
      </c>
      <c r="D96" s="20" t="s">
        <v>8</v>
      </c>
      <c r="E96" t="s">
        <v>293</v>
      </c>
    </row>
    <row r="97" spans="1:5" x14ac:dyDescent="0.25">
      <c r="A97" t="s">
        <v>262</v>
      </c>
      <c r="B97" s="21" t="s">
        <v>263</v>
      </c>
      <c r="C97" s="21">
        <v>0.3</v>
      </c>
      <c r="D97" s="20" t="s">
        <v>8</v>
      </c>
      <c r="E97" t="s">
        <v>294</v>
      </c>
    </row>
    <row r="98" spans="1:5" x14ac:dyDescent="0.25">
      <c r="A98" t="s">
        <v>264</v>
      </c>
      <c r="B98" s="21" t="s">
        <v>263</v>
      </c>
      <c r="C98" s="21">
        <v>1</v>
      </c>
      <c r="D98" s="20" t="s">
        <v>8</v>
      </c>
      <c r="E98" t="s">
        <v>295</v>
      </c>
    </row>
    <row r="99" spans="1:5" x14ac:dyDescent="0.25">
      <c r="A99" t="s">
        <v>265</v>
      </c>
      <c r="B99" s="21" t="s">
        <v>263</v>
      </c>
      <c r="C99" s="21">
        <v>1</v>
      </c>
      <c r="D99" s="20" t="s">
        <v>8</v>
      </c>
      <c r="E99" t="s">
        <v>296</v>
      </c>
    </row>
    <row r="100" spans="1:5" x14ac:dyDescent="0.25">
      <c r="A100" t="s">
        <v>266</v>
      </c>
      <c r="B100" s="20" t="s">
        <v>263</v>
      </c>
      <c r="C100" s="20">
        <v>1</v>
      </c>
      <c r="D100" s="20" t="s">
        <v>8</v>
      </c>
      <c r="E100" t="s">
        <v>297</v>
      </c>
    </row>
    <row r="101" spans="1:5" x14ac:dyDescent="0.25">
      <c r="A101" t="s">
        <v>267</v>
      </c>
      <c r="B101" s="21" t="s">
        <v>263</v>
      </c>
      <c r="C101" s="21">
        <v>0.03</v>
      </c>
      <c r="D101" s="20" t="s">
        <v>59</v>
      </c>
      <c r="E101" t="s">
        <v>298</v>
      </c>
    </row>
    <row r="102" spans="1:5" x14ac:dyDescent="0.25">
      <c r="A102" t="s">
        <v>268</v>
      </c>
      <c r="B102" s="21" t="s">
        <v>263</v>
      </c>
      <c r="C102" s="21">
        <v>0.29499999999999998</v>
      </c>
      <c r="D102" s="20" t="s">
        <v>59</v>
      </c>
      <c r="E102" t="s">
        <v>299</v>
      </c>
    </row>
    <row r="103" spans="1:5" x14ac:dyDescent="0.25">
      <c r="A103" t="s">
        <v>269</v>
      </c>
      <c r="B103" s="20" t="s">
        <v>263</v>
      </c>
      <c r="C103" s="20">
        <v>1</v>
      </c>
      <c r="D103" s="20" t="s">
        <v>135</v>
      </c>
      <c r="E103" t="s">
        <v>300</v>
      </c>
    </row>
    <row r="104" spans="1:5" x14ac:dyDescent="0.25">
      <c r="A104" t="s">
        <v>270</v>
      </c>
      <c r="B104" s="21" t="s">
        <v>263</v>
      </c>
      <c r="C104" s="21">
        <v>35000</v>
      </c>
      <c r="D104" s="20" t="s">
        <v>271</v>
      </c>
      <c r="E104" t="s">
        <v>311</v>
      </c>
    </row>
    <row r="105" spans="1:5" x14ac:dyDescent="0.25">
      <c r="A105" t="s">
        <v>303</v>
      </c>
      <c r="B105" s="21" t="s">
        <v>263</v>
      </c>
      <c r="C105" s="21">
        <v>0.22</v>
      </c>
      <c r="D105" s="20" t="s">
        <v>59</v>
      </c>
      <c r="E105" t="s">
        <v>304</v>
      </c>
    </row>
    <row r="106" spans="1:5" x14ac:dyDescent="0.25">
      <c r="A106" t="s">
        <v>305</v>
      </c>
      <c r="B106" s="20" t="s">
        <v>134</v>
      </c>
      <c r="C106" s="20">
        <v>1000</v>
      </c>
      <c r="D106" s="20" t="s">
        <v>309</v>
      </c>
      <c r="E106" t="s">
        <v>310</v>
      </c>
    </row>
    <row r="107" spans="1:5" x14ac:dyDescent="0.25">
      <c r="A107" t="s">
        <v>306</v>
      </c>
      <c r="B107" s="20" t="s">
        <v>168</v>
      </c>
      <c r="C107" s="20">
        <v>890</v>
      </c>
      <c r="D107" s="20" t="s">
        <v>309</v>
      </c>
      <c r="E107" t="s">
        <v>499</v>
      </c>
    </row>
    <row r="108" spans="1:5" x14ac:dyDescent="0.25">
      <c r="A108" t="s">
        <v>307</v>
      </c>
      <c r="B108" s="20" t="s">
        <v>168</v>
      </c>
      <c r="C108" s="20">
        <v>60</v>
      </c>
      <c r="D108" s="20" t="s">
        <v>182</v>
      </c>
      <c r="E108" t="s">
        <v>499</v>
      </c>
    </row>
    <row r="109" spans="1:5" x14ac:dyDescent="0.25">
      <c r="A109" t="s">
        <v>308</v>
      </c>
      <c r="B109" s="20" t="s">
        <v>134</v>
      </c>
      <c r="C109" s="20">
        <v>11.941543440928031</v>
      </c>
      <c r="D109" s="20" t="s">
        <v>135</v>
      </c>
      <c r="E109" t="s">
        <v>312</v>
      </c>
    </row>
    <row r="110" spans="1:5" x14ac:dyDescent="0.25">
      <c r="A110" s="23" t="s">
        <v>501</v>
      </c>
      <c r="B110" s="24" t="s">
        <v>502</v>
      </c>
      <c r="C110" s="24">
        <v>241</v>
      </c>
      <c r="D110" s="24" t="s">
        <v>503</v>
      </c>
      <c r="E110" t="s">
        <v>525</v>
      </c>
    </row>
    <row r="111" spans="1:5" x14ac:dyDescent="0.25">
      <c r="A111" s="25" t="s">
        <v>504</v>
      </c>
      <c r="B111" s="26" t="s">
        <v>502</v>
      </c>
      <c r="C111" s="27">
        <v>186</v>
      </c>
      <c r="D111" s="26" t="s">
        <v>503</v>
      </c>
      <c r="E111" t="s">
        <v>525</v>
      </c>
    </row>
    <row r="112" spans="1:5" x14ac:dyDescent="0.25">
      <c r="A112" s="23" t="s">
        <v>505</v>
      </c>
      <c r="B112" s="24" t="s">
        <v>502</v>
      </c>
      <c r="C112" s="24">
        <v>462</v>
      </c>
      <c r="D112" s="24" t="s">
        <v>503</v>
      </c>
      <c r="E112" t="s">
        <v>525</v>
      </c>
    </row>
    <row r="113" spans="1:5" x14ac:dyDescent="0.25">
      <c r="A113" s="25" t="s">
        <v>527</v>
      </c>
      <c r="B113" s="26" t="s">
        <v>502</v>
      </c>
      <c r="C113" s="26">
        <v>30</v>
      </c>
      <c r="D113" s="26" t="s">
        <v>503</v>
      </c>
      <c r="E113" t="s">
        <v>540</v>
      </c>
    </row>
    <row r="114" spans="1:5" x14ac:dyDescent="0.25">
      <c r="A114" s="25" t="s">
        <v>528</v>
      </c>
      <c r="B114" s="26" t="s">
        <v>502</v>
      </c>
      <c r="C114" s="26">
        <v>9.5</v>
      </c>
      <c r="D114" s="26" t="s">
        <v>503</v>
      </c>
      <c r="E114" t="s">
        <v>540</v>
      </c>
    </row>
    <row r="115" spans="1:5" x14ac:dyDescent="0.25">
      <c r="A115" s="23" t="s">
        <v>506</v>
      </c>
      <c r="B115" s="24" t="s">
        <v>502</v>
      </c>
      <c r="C115" s="28">
        <v>68900</v>
      </c>
      <c r="D115" s="24" t="s">
        <v>503</v>
      </c>
      <c r="E115" t="s">
        <v>526</v>
      </c>
    </row>
    <row r="116" spans="1:5" x14ac:dyDescent="0.25">
      <c r="A116" s="23" t="s">
        <v>522</v>
      </c>
      <c r="B116" s="24" t="s">
        <v>56</v>
      </c>
      <c r="C116" s="24">
        <v>0.14799999999999999</v>
      </c>
      <c r="D116" s="24" t="s">
        <v>59</v>
      </c>
      <c r="E116" t="s">
        <v>524</v>
      </c>
    </row>
    <row r="117" spans="1:5" x14ac:dyDescent="0.25">
      <c r="A117" s="23" t="s">
        <v>507</v>
      </c>
      <c r="B117" s="24" t="s">
        <v>56</v>
      </c>
      <c r="C117" s="24">
        <v>4.0000000000000001E-3</v>
      </c>
      <c r="D117" s="24" t="s">
        <v>59</v>
      </c>
    </row>
    <row r="118" spans="1:5" x14ac:dyDescent="0.25">
      <c r="A118" s="23" t="s">
        <v>508</v>
      </c>
      <c r="B118" s="24" t="s">
        <v>56</v>
      </c>
      <c r="C118" s="24">
        <v>0.04</v>
      </c>
      <c r="D118" s="24" t="s">
        <v>59</v>
      </c>
    </row>
    <row r="119" spans="1:5" x14ac:dyDescent="0.25">
      <c r="A119" s="23" t="s">
        <v>509</v>
      </c>
      <c r="B119" s="24" t="s">
        <v>56</v>
      </c>
      <c r="C119" s="24">
        <v>2.3E-2</v>
      </c>
      <c r="D119" s="24" t="s">
        <v>59</v>
      </c>
    </row>
    <row r="120" spans="1:5" x14ac:dyDescent="0.25">
      <c r="A120" s="23" t="s">
        <v>510</v>
      </c>
      <c r="B120" s="24" t="s">
        <v>56</v>
      </c>
      <c r="C120" s="24">
        <v>50</v>
      </c>
      <c r="D120" s="24" t="s">
        <v>23</v>
      </c>
    </row>
    <row r="121" spans="1:5" x14ac:dyDescent="0.25">
      <c r="A121" s="23" t="s">
        <v>511</v>
      </c>
      <c r="B121" s="24" t="s">
        <v>56</v>
      </c>
      <c r="C121" s="24">
        <v>0.09</v>
      </c>
      <c r="D121" s="24" t="s">
        <v>59</v>
      </c>
    </row>
    <row r="122" spans="1:5" x14ac:dyDescent="0.25">
      <c r="A122" s="23" t="s">
        <v>512</v>
      </c>
      <c r="B122" s="24" t="s">
        <v>56</v>
      </c>
      <c r="C122" s="24">
        <v>6.3499999999999997E-3</v>
      </c>
      <c r="D122" s="24" t="s">
        <v>59</v>
      </c>
    </row>
    <row r="123" spans="1:5" x14ac:dyDescent="0.25">
      <c r="A123" s="23" t="s">
        <v>513</v>
      </c>
      <c r="B123" s="24" t="s">
        <v>56</v>
      </c>
      <c r="C123" s="24">
        <v>1.2699999999999999E-2</v>
      </c>
      <c r="D123" s="24" t="s">
        <v>59</v>
      </c>
    </row>
    <row r="124" spans="1:5" x14ac:dyDescent="0.25">
      <c r="A124" s="23" t="s">
        <v>514</v>
      </c>
      <c r="B124" s="24" t="s">
        <v>56</v>
      </c>
      <c r="C124" s="24">
        <v>0.76</v>
      </c>
      <c r="D124" s="24" t="s">
        <v>59</v>
      </c>
    </row>
    <row r="125" spans="1:5" x14ac:dyDescent="0.25">
      <c r="A125" s="23" t="s">
        <v>515</v>
      </c>
      <c r="B125" s="24" t="s">
        <v>56</v>
      </c>
      <c r="C125" s="24">
        <v>1.524E-3</v>
      </c>
      <c r="D125" s="24" t="s">
        <v>59</v>
      </c>
    </row>
    <row r="126" spans="1:5" x14ac:dyDescent="0.25">
      <c r="A126" s="23" t="s">
        <v>516</v>
      </c>
      <c r="B126" s="24" t="s">
        <v>56</v>
      </c>
      <c r="C126" s="24">
        <v>1.2699999999999999E-2</v>
      </c>
      <c r="D126" s="24" t="s">
        <v>59</v>
      </c>
    </row>
    <row r="127" spans="1:5" x14ac:dyDescent="0.25">
      <c r="A127" s="23" t="s">
        <v>517</v>
      </c>
      <c r="B127" s="24" t="s">
        <v>56</v>
      </c>
      <c r="C127" s="24">
        <v>0.56499999999999995</v>
      </c>
      <c r="D127" s="24" t="s">
        <v>59</v>
      </c>
    </row>
    <row r="128" spans="1:5" x14ac:dyDescent="0.25">
      <c r="A128" s="23" t="s">
        <v>518</v>
      </c>
      <c r="B128" s="24" t="s">
        <v>56</v>
      </c>
      <c r="C128" s="24">
        <v>1.524E-3</v>
      </c>
      <c r="D128" s="24" t="s">
        <v>59</v>
      </c>
    </row>
    <row r="129" spans="1:4" x14ac:dyDescent="0.25">
      <c r="A129" s="23" t="s">
        <v>519</v>
      </c>
      <c r="B129" s="24" t="s">
        <v>56</v>
      </c>
      <c r="C129" s="24">
        <v>8.9999999999999993E-3</v>
      </c>
      <c r="D129" s="24" t="s">
        <v>59</v>
      </c>
    </row>
    <row r="130" spans="1:4" x14ac:dyDescent="0.25">
      <c r="A130" s="25" t="s">
        <v>520</v>
      </c>
      <c r="B130" s="26" t="s">
        <v>56</v>
      </c>
      <c r="C130" s="26">
        <v>4.3E-3</v>
      </c>
      <c r="D130" s="26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0"/>
  <sheetViews>
    <sheetView tabSelected="1" topLeftCell="A115" workbookViewId="0">
      <selection activeCell="E125" sqref="E125"/>
    </sheetView>
  </sheetViews>
  <sheetFormatPr defaultRowHeight="15" x14ac:dyDescent="0.25"/>
  <cols>
    <col min="1" max="1" width="40.7109375" customWidth="1"/>
    <col min="2" max="2" width="12.5703125" customWidth="1"/>
    <col min="3" max="3" width="64.5703125" customWidth="1"/>
    <col min="4" max="4" width="5.7109375" customWidth="1"/>
    <col min="5" max="5" width="46" customWidth="1"/>
    <col min="6" max="6" width="32.42578125" customWidth="1"/>
    <col min="8" max="8" width="42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374</v>
      </c>
      <c r="H1" t="s">
        <v>541</v>
      </c>
    </row>
    <row r="2" spans="1:8" x14ac:dyDescent="0.25">
      <c r="A2" t="s">
        <v>313</v>
      </c>
      <c r="B2" t="s">
        <v>7</v>
      </c>
      <c r="C2">
        <v>0.3</v>
      </c>
      <c r="D2" t="s">
        <v>8</v>
      </c>
      <c r="E2" t="s">
        <v>346</v>
      </c>
      <c r="F2" t="s">
        <v>375</v>
      </c>
    </row>
    <row r="3" spans="1:8" x14ac:dyDescent="0.25">
      <c r="A3" t="s">
        <v>314</v>
      </c>
      <c r="B3" t="s">
        <v>7</v>
      </c>
      <c r="C3">
        <v>1.1818181818181817</v>
      </c>
      <c r="D3" t="s">
        <v>8</v>
      </c>
      <c r="E3" t="s">
        <v>347</v>
      </c>
      <c r="F3" t="s">
        <v>375</v>
      </c>
    </row>
    <row r="4" spans="1:8" x14ac:dyDescent="0.25">
      <c r="A4" t="s">
        <v>315</v>
      </c>
      <c r="B4" t="s">
        <v>7</v>
      </c>
      <c r="C4">
        <v>0.92582241145109656</v>
      </c>
      <c r="D4" t="s">
        <v>8</v>
      </c>
      <c r="E4" t="s">
        <v>348</v>
      </c>
      <c r="F4" t="s">
        <v>375</v>
      </c>
    </row>
    <row r="5" spans="1:8" x14ac:dyDescent="0.25">
      <c r="A5" t="s">
        <v>316</v>
      </c>
      <c r="B5" t="s">
        <v>7</v>
      </c>
      <c r="C5">
        <v>8.0941856394028303E-2</v>
      </c>
      <c r="D5" t="s">
        <v>8</v>
      </c>
      <c r="E5" t="s">
        <v>349</v>
      </c>
      <c r="F5" t="s">
        <v>375</v>
      </c>
    </row>
    <row r="6" spans="1:8" x14ac:dyDescent="0.25">
      <c r="A6" t="s">
        <v>317</v>
      </c>
      <c r="B6" t="s">
        <v>7</v>
      </c>
      <c r="C6">
        <v>0.19588300688233271</v>
      </c>
      <c r="D6" t="s">
        <v>8</v>
      </c>
      <c r="E6" t="s">
        <v>350</v>
      </c>
      <c r="F6" t="s">
        <v>375</v>
      </c>
    </row>
    <row r="7" spans="1:8" x14ac:dyDescent="0.25">
      <c r="A7" t="s">
        <v>318</v>
      </c>
      <c r="B7" t="s">
        <v>7</v>
      </c>
      <c r="C7">
        <v>3.1335225950127228E-2</v>
      </c>
      <c r="F7" t="s">
        <v>375</v>
      </c>
    </row>
    <row r="8" spans="1:8" x14ac:dyDescent="0.25">
      <c r="A8" t="s">
        <v>319</v>
      </c>
      <c r="B8" t="s">
        <v>7</v>
      </c>
      <c r="C8">
        <v>3.8619993025589772E-2</v>
      </c>
      <c r="D8" t="s">
        <v>8</v>
      </c>
      <c r="E8" t="s">
        <v>351</v>
      </c>
      <c r="F8" t="s">
        <v>375</v>
      </c>
    </row>
    <row r="9" spans="1:8" x14ac:dyDescent="0.25">
      <c r="A9" t="s">
        <v>320</v>
      </c>
      <c r="B9" t="s">
        <v>7</v>
      </c>
      <c r="C9">
        <v>3.8619993025589772E-2</v>
      </c>
      <c r="D9" t="s">
        <v>8</v>
      </c>
      <c r="E9" t="s">
        <v>352</v>
      </c>
      <c r="F9" t="s">
        <v>375</v>
      </c>
    </row>
    <row r="10" spans="1:8" x14ac:dyDescent="0.25">
      <c r="A10" t="s">
        <v>321</v>
      </c>
      <c r="B10" t="s">
        <v>7</v>
      </c>
      <c r="C10">
        <v>2.3619993025589772E-2</v>
      </c>
      <c r="D10" t="s">
        <v>8</v>
      </c>
      <c r="E10" t="s">
        <v>353</v>
      </c>
      <c r="F10" t="s">
        <v>375</v>
      </c>
    </row>
    <row r="11" spans="1:8" x14ac:dyDescent="0.25">
      <c r="A11" t="s">
        <v>322</v>
      </c>
      <c r="B11" t="s">
        <v>7</v>
      </c>
      <c r="C11">
        <v>7.7679972598964149</v>
      </c>
      <c r="D11" t="s">
        <v>8</v>
      </c>
      <c r="E11" t="s">
        <v>354</v>
      </c>
      <c r="F11" t="s">
        <v>375</v>
      </c>
    </row>
    <row r="12" spans="1:8" x14ac:dyDescent="0.25">
      <c r="A12" t="s">
        <v>323</v>
      </c>
      <c r="B12" t="s">
        <v>7</v>
      </c>
      <c r="C12">
        <v>9.9281197918699284</v>
      </c>
      <c r="D12" t="s">
        <v>8</v>
      </c>
      <c r="E12" t="s">
        <v>355</v>
      </c>
      <c r="F12" t="s">
        <v>375</v>
      </c>
    </row>
    <row r="13" spans="1:8" x14ac:dyDescent="0.25">
      <c r="A13" t="s">
        <v>378</v>
      </c>
      <c r="B13" t="s">
        <v>7</v>
      </c>
      <c r="C13">
        <v>3.0198549799930445</v>
      </c>
      <c r="F13" t="s">
        <v>375</v>
      </c>
    </row>
    <row r="14" spans="1:8" x14ac:dyDescent="0.25">
      <c r="A14" t="s">
        <v>379</v>
      </c>
      <c r="B14" t="s">
        <v>7</v>
      </c>
      <c r="C14">
        <v>3.9888876554460642</v>
      </c>
      <c r="F14" t="s">
        <v>375</v>
      </c>
    </row>
    <row r="15" spans="1:8" x14ac:dyDescent="0.25">
      <c r="A15" t="s">
        <v>380</v>
      </c>
      <c r="B15" t="s">
        <v>7</v>
      </c>
      <c r="C15">
        <v>0.59783680842556775</v>
      </c>
      <c r="F15" t="s">
        <v>375</v>
      </c>
    </row>
    <row r="16" spans="1:8" x14ac:dyDescent="0.25">
      <c r="A16" t="s">
        <v>381</v>
      </c>
      <c r="B16" t="s">
        <v>7</v>
      </c>
      <c r="C16">
        <v>5.2033621722920103</v>
      </c>
      <c r="F16" t="s">
        <v>375</v>
      </c>
    </row>
    <row r="17" spans="1:6" x14ac:dyDescent="0.25">
      <c r="A17" t="s">
        <v>382</v>
      </c>
      <c r="B17" t="s">
        <v>7</v>
      </c>
      <c r="C17">
        <v>-9.6561353939117869E-2</v>
      </c>
      <c r="F17" t="s">
        <v>375</v>
      </c>
    </row>
    <row r="18" spans="1:6" x14ac:dyDescent="0.25">
      <c r="A18" t="s">
        <v>383</v>
      </c>
      <c r="B18" t="s">
        <v>7</v>
      </c>
      <c r="C18">
        <v>0.66074594914354523</v>
      </c>
      <c r="F18" t="s">
        <v>375</v>
      </c>
    </row>
    <row r="19" spans="1:6" x14ac:dyDescent="0.25">
      <c r="A19" t="s">
        <v>384</v>
      </c>
      <c r="B19" t="s">
        <v>7</v>
      </c>
      <c r="C19">
        <v>0.60899778104422941</v>
      </c>
      <c r="F19" t="s">
        <v>375</v>
      </c>
    </row>
    <row r="20" spans="1:6" x14ac:dyDescent="0.25">
      <c r="A20" t="s">
        <v>385</v>
      </c>
      <c r="B20" t="s">
        <v>7</v>
      </c>
      <c r="C20">
        <v>1.5753270213496304</v>
      </c>
      <c r="F20" t="s">
        <v>375</v>
      </c>
    </row>
    <row r="21" spans="1:6" x14ac:dyDescent="0.25">
      <c r="A21" t="s">
        <v>386</v>
      </c>
      <c r="B21" t="s">
        <v>7</v>
      </c>
      <c r="C21">
        <v>0.66074594914354523</v>
      </c>
      <c r="F21" t="s">
        <v>375</v>
      </c>
    </row>
    <row r="22" spans="1:6" x14ac:dyDescent="0.25">
      <c r="A22" t="s">
        <v>387</v>
      </c>
      <c r="B22" t="s">
        <v>7</v>
      </c>
      <c r="C22">
        <v>0.12602616170797043</v>
      </c>
      <c r="F22" t="s">
        <v>375</v>
      </c>
    </row>
    <row r="23" spans="1:6" x14ac:dyDescent="0.25">
      <c r="A23" t="s">
        <v>500</v>
      </c>
      <c r="B23" t="s">
        <v>7</v>
      </c>
      <c r="C23">
        <v>0.78050169904696809</v>
      </c>
      <c r="F23" t="s">
        <v>375</v>
      </c>
    </row>
    <row r="24" spans="1:6" x14ac:dyDescent="0.25">
      <c r="A24" t="s">
        <v>324</v>
      </c>
      <c r="B24" t="s">
        <v>56</v>
      </c>
      <c r="C24">
        <v>0.50145310681164035</v>
      </c>
      <c r="D24" t="s">
        <v>66</v>
      </c>
      <c r="E24" t="s">
        <v>356</v>
      </c>
      <c r="F24" t="s">
        <v>375</v>
      </c>
    </row>
    <row r="25" spans="1:6" x14ac:dyDescent="0.25">
      <c r="A25" t="s">
        <v>325</v>
      </c>
      <c r="B25" t="s">
        <v>56</v>
      </c>
      <c r="C25">
        <v>0.3531359907124228</v>
      </c>
      <c r="D25" t="s">
        <v>59</v>
      </c>
      <c r="E25" t="s">
        <v>357</v>
      </c>
      <c r="F25" t="s">
        <v>375</v>
      </c>
    </row>
    <row r="26" spans="1:6" x14ac:dyDescent="0.25">
      <c r="A26" t="s">
        <v>326</v>
      </c>
      <c r="B26" t="s">
        <v>56</v>
      </c>
      <c r="C26">
        <v>4.2476554059921039</v>
      </c>
      <c r="D26" t="s">
        <v>8</v>
      </c>
      <c r="E26" t="s">
        <v>358</v>
      </c>
      <c r="F26" t="s">
        <v>375</v>
      </c>
    </row>
    <row r="27" spans="1:6" x14ac:dyDescent="0.25">
      <c r="A27" t="s">
        <v>327</v>
      </c>
      <c r="B27" t="s">
        <v>56</v>
      </c>
      <c r="C27">
        <v>8.5247028157978869E-2</v>
      </c>
      <c r="D27" t="s">
        <v>66</v>
      </c>
      <c r="E27" t="s">
        <v>359</v>
      </c>
      <c r="F27" t="s">
        <v>375</v>
      </c>
    </row>
    <row r="28" spans="1:6" x14ac:dyDescent="0.25">
      <c r="A28" t="s">
        <v>328</v>
      </c>
      <c r="B28" t="s">
        <v>56</v>
      </c>
      <c r="C28">
        <v>0.46164658603194192</v>
      </c>
      <c r="D28" t="s">
        <v>59</v>
      </c>
      <c r="E28" t="s">
        <v>360</v>
      </c>
      <c r="F28" t="s">
        <v>375</v>
      </c>
    </row>
    <row r="29" spans="1:6" x14ac:dyDescent="0.25">
      <c r="A29" t="s">
        <v>329</v>
      </c>
      <c r="B29" t="s">
        <v>56</v>
      </c>
      <c r="C29">
        <v>0.18465863441277677</v>
      </c>
      <c r="D29" t="s">
        <v>59</v>
      </c>
      <c r="E29" t="s">
        <v>361</v>
      </c>
      <c r="F29" t="s">
        <v>375</v>
      </c>
    </row>
    <row r="30" spans="1:6" x14ac:dyDescent="0.25">
      <c r="A30" t="s">
        <v>330</v>
      </c>
      <c r="B30" t="s">
        <v>56</v>
      </c>
      <c r="C30">
        <v>0.38512075680995078</v>
      </c>
      <c r="D30" t="s">
        <v>8</v>
      </c>
      <c r="E30" t="s">
        <v>362</v>
      </c>
      <c r="F30" t="s">
        <v>375</v>
      </c>
    </row>
    <row r="31" spans="1:6" x14ac:dyDescent="0.25">
      <c r="A31" t="s">
        <v>331</v>
      </c>
      <c r="B31" t="s">
        <v>56</v>
      </c>
      <c r="C31">
        <v>7.5217966021746033E-2</v>
      </c>
      <c r="D31" t="s">
        <v>66</v>
      </c>
      <c r="E31" t="s">
        <v>363</v>
      </c>
      <c r="F31" t="s">
        <v>375</v>
      </c>
    </row>
    <row r="32" spans="1:6" x14ac:dyDescent="0.25">
      <c r="A32" t="s">
        <v>332</v>
      </c>
      <c r="B32" t="s">
        <v>56</v>
      </c>
      <c r="C32">
        <v>7.5217966021746033E-2</v>
      </c>
      <c r="D32" t="s">
        <v>66</v>
      </c>
      <c r="E32" t="s">
        <v>364</v>
      </c>
      <c r="F32" t="s">
        <v>375</v>
      </c>
    </row>
    <row r="33" spans="1:6" x14ac:dyDescent="0.25">
      <c r="A33" t="s">
        <v>333</v>
      </c>
      <c r="B33" t="s">
        <v>56</v>
      </c>
      <c r="C33">
        <v>0.28369565319769752</v>
      </c>
      <c r="D33" t="s">
        <v>59</v>
      </c>
      <c r="E33" t="s">
        <v>365</v>
      </c>
      <c r="F33" t="s">
        <v>375</v>
      </c>
    </row>
    <row r="34" spans="1:6" x14ac:dyDescent="0.25">
      <c r="A34" t="s">
        <v>334</v>
      </c>
      <c r="B34" t="s">
        <v>56</v>
      </c>
      <c r="C34">
        <v>0.26513612448382945</v>
      </c>
      <c r="D34" t="s">
        <v>59</v>
      </c>
      <c r="E34" t="s">
        <v>366</v>
      </c>
      <c r="F34" t="s">
        <v>375</v>
      </c>
    </row>
    <row r="35" spans="1:6" x14ac:dyDescent="0.25">
      <c r="A35" t="s">
        <v>388</v>
      </c>
      <c r="B35" t="s">
        <v>56</v>
      </c>
      <c r="C35">
        <v>2.8568191064456228E-2</v>
      </c>
      <c r="F35" t="s">
        <v>375</v>
      </c>
    </row>
    <row r="36" spans="1:6" x14ac:dyDescent="0.25">
      <c r="A36" t="s">
        <v>389</v>
      </c>
      <c r="B36" t="s">
        <v>56</v>
      </c>
      <c r="C36">
        <v>0.23237691205670161</v>
      </c>
      <c r="F36" t="s">
        <v>375</v>
      </c>
    </row>
    <row r="37" spans="1:6" x14ac:dyDescent="0.25">
      <c r="A37" t="s">
        <v>390</v>
      </c>
      <c r="B37" t="s">
        <v>56</v>
      </c>
      <c r="C37">
        <v>0.3614852233974003</v>
      </c>
      <c r="F37" t="s">
        <v>375</v>
      </c>
    </row>
    <row r="38" spans="1:6" x14ac:dyDescent="0.25">
      <c r="A38" t="s">
        <v>391</v>
      </c>
      <c r="B38" t="s">
        <v>56</v>
      </c>
      <c r="C38">
        <v>0.21148522339740031</v>
      </c>
      <c r="F38" t="s">
        <v>375</v>
      </c>
    </row>
    <row r="39" spans="1:6" x14ac:dyDescent="0.25">
      <c r="A39" t="s">
        <v>165</v>
      </c>
      <c r="B39" t="s">
        <v>134</v>
      </c>
      <c r="C39">
        <v>3.3914500000000003</v>
      </c>
      <c r="F39" t="s">
        <v>376</v>
      </c>
    </row>
    <row r="40" spans="1:6" x14ac:dyDescent="0.25">
      <c r="A40" t="s">
        <v>335</v>
      </c>
      <c r="B40" t="s">
        <v>134</v>
      </c>
      <c r="C40">
        <v>22.737783592977756</v>
      </c>
      <c r="D40" t="s">
        <v>135</v>
      </c>
      <c r="E40" t="s">
        <v>367</v>
      </c>
      <c r="F40" t="s">
        <v>375</v>
      </c>
    </row>
    <row r="41" spans="1:6" x14ac:dyDescent="0.25">
      <c r="A41" t="s">
        <v>336</v>
      </c>
      <c r="B41" t="s">
        <v>134</v>
      </c>
      <c r="C41">
        <v>11</v>
      </c>
      <c r="D41" t="s">
        <v>135</v>
      </c>
      <c r="E41" t="s">
        <v>368</v>
      </c>
      <c r="F41" t="s">
        <v>375</v>
      </c>
    </row>
    <row r="42" spans="1:6" x14ac:dyDescent="0.25">
      <c r="A42" t="s">
        <v>337</v>
      </c>
      <c r="B42" t="s">
        <v>134</v>
      </c>
      <c r="C42">
        <v>14.810748414335091</v>
      </c>
      <c r="D42" t="s">
        <v>135</v>
      </c>
      <c r="E42" t="s">
        <v>369</v>
      </c>
      <c r="F42" t="s">
        <v>375</v>
      </c>
    </row>
    <row r="43" spans="1:6" x14ac:dyDescent="0.25">
      <c r="A43" t="s">
        <v>338</v>
      </c>
      <c r="B43" t="s">
        <v>134</v>
      </c>
      <c r="C43">
        <v>12.24744871391589</v>
      </c>
      <c r="D43" t="s">
        <v>135</v>
      </c>
      <c r="E43" t="s">
        <v>370</v>
      </c>
      <c r="F43" t="s">
        <v>375</v>
      </c>
    </row>
    <row r="44" spans="1:6" x14ac:dyDescent="0.25">
      <c r="A44" t="s">
        <v>339</v>
      </c>
      <c r="B44" t="s">
        <v>134</v>
      </c>
      <c r="C44">
        <v>48.189685104221404</v>
      </c>
      <c r="D44" t="s">
        <v>23</v>
      </c>
      <c r="E44" t="s">
        <v>371</v>
      </c>
      <c r="F44" t="s">
        <v>375</v>
      </c>
    </row>
    <row r="45" spans="1:6" x14ac:dyDescent="0.25">
      <c r="A45" t="s">
        <v>340</v>
      </c>
      <c r="B45" t="s">
        <v>134</v>
      </c>
      <c r="C45">
        <v>16.699244233993625</v>
      </c>
      <c r="D45" t="s">
        <v>23</v>
      </c>
      <c r="E45" t="s">
        <v>372</v>
      </c>
      <c r="F45" t="s">
        <v>375</v>
      </c>
    </row>
    <row r="46" spans="1:6" x14ac:dyDescent="0.25">
      <c r="A46" t="s">
        <v>341</v>
      </c>
      <c r="B46" t="s">
        <v>134</v>
      </c>
      <c r="C46">
        <v>33.270124500000001</v>
      </c>
      <c r="D46" t="s">
        <v>345</v>
      </c>
      <c r="E46" t="s">
        <v>373</v>
      </c>
      <c r="F46" t="s">
        <v>375</v>
      </c>
    </row>
    <row r="47" spans="1:6" x14ac:dyDescent="0.25">
      <c r="A47" t="s">
        <v>342</v>
      </c>
      <c r="B47" t="s">
        <v>134</v>
      </c>
      <c r="C47">
        <v>0.4509256385240365</v>
      </c>
      <c r="F47" t="s">
        <v>375</v>
      </c>
    </row>
    <row r="48" spans="1:6" x14ac:dyDescent="0.25">
      <c r="A48" t="s">
        <v>343</v>
      </c>
      <c r="B48" t="s">
        <v>134</v>
      </c>
      <c r="C48">
        <v>237637.81150216723</v>
      </c>
      <c r="F48" t="s">
        <v>375</v>
      </c>
    </row>
    <row r="49" spans="1:6" x14ac:dyDescent="0.25">
      <c r="A49" t="s">
        <v>344</v>
      </c>
      <c r="B49" t="s">
        <v>134</v>
      </c>
      <c r="C49">
        <v>133077.17444121366</v>
      </c>
      <c r="F49" t="s">
        <v>375</v>
      </c>
    </row>
    <row r="50" spans="1:6" x14ac:dyDescent="0.25">
      <c r="A50" t="s">
        <v>392</v>
      </c>
      <c r="B50" t="s">
        <v>134</v>
      </c>
      <c r="C50">
        <v>33.784620508465004</v>
      </c>
      <c r="F50" t="s">
        <v>375</v>
      </c>
    </row>
    <row r="51" spans="1:6" x14ac:dyDescent="0.25">
      <c r="A51" t="s">
        <v>529</v>
      </c>
      <c r="B51" t="s">
        <v>134</v>
      </c>
      <c r="C51">
        <v>34.655879425474303</v>
      </c>
      <c r="F51" t="s">
        <v>375</v>
      </c>
    </row>
    <row r="52" spans="1:6" x14ac:dyDescent="0.25">
      <c r="A52" t="s">
        <v>393</v>
      </c>
      <c r="B52" t="s">
        <v>134</v>
      </c>
      <c r="C52">
        <v>15.682651825415947</v>
      </c>
      <c r="F52" t="s">
        <v>375</v>
      </c>
    </row>
    <row r="53" spans="1:6" x14ac:dyDescent="0.25">
      <c r="A53" t="s">
        <v>403</v>
      </c>
      <c r="B53" t="s">
        <v>134</v>
      </c>
      <c r="C53">
        <v>34.655879425474303</v>
      </c>
      <c r="F53" t="s">
        <v>375</v>
      </c>
    </row>
    <row r="54" spans="1:6" x14ac:dyDescent="0.25">
      <c r="A54" t="s">
        <v>404</v>
      </c>
      <c r="B54" t="s">
        <v>134</v>
      </c>
      <c r="C54">
        <v>11.424880820961556</v>
      </c>
      <c r="F54" t="s">
        <v>375</v>
      </c>
    </row>
    <row r="55" spans="1:6" x14ac:dyDescent="0.25">
      <c r="A55" t="s">
        <v>405</v>
      </c>
      <c r="B55" t="s">
        <v>134</v>
      </c>
      <c r="C55">
        <v>14.66967457389266</v>
      </c>
      <c r="F55" t="s">
        <v>375</v>
      </c>
    </row>
    <row r="56" spans="1:6" x14ac:dyDescent="0.25">
      <c r="A56" t="s">
        <v>406</v>
      </c>
      <c r="B56" t="s">
        <v>134</v>
      </c>
      <c r="C56">
        <v>19.712867074727907</v>
      </c>
      <c r="F56" t="s">
        <v>375</v>
      </c>
    </row>
    <row r="57" spans="1:6" x14ac:dyDescent="0.25">
      <c r="A57" t="s">
        <v>407</v>
      </c>
      <c r="B57" t="s">
        <v>134</v>
      </c>
      <c r="C57">
        <v>15.294939902316584</v>
      </c>
      <c r="F57" t="s">
        <v>375</v>
      </c>
    </row>
    <row r="58" spans="1:6" x14ac:dyDescent="0.25">
      <c r="A58" t="s">
        <v>394</v>
      </c>
      <c r="B58" t="s">
        <v>134</v>
      </c>
      <c r="C58">
        <v>3.8</v>
      </c>
      <c r="F58" t="s">
        <v>375</v>
      </c>
    </row>
    <row r="59" spans="1:6" x14ac:dyDescent="0.25">
      <c r="A59" t="s">
        <v>395</v>
      </c>
      <c r="B59" t="s">
        <v>134</v>
      </c>
      <c r="C59">
        <v>-1.52</v>
      </c>
      <c r="F59" t="s">
        <v>375</v>
      </c>
    </row>
    <row r="60" spans="1:6" x14ac:dyDescent="0.25">
      <c r="A60" t="s">
        <v>396</v>
      </c>
      <c r="B60" t="s">
        <v>134</v>
      </c>
      <c r="C60">
        <v>5.6999999999999993</v>
      </c>
      <c r="F60" t="s">
        <v>375</v>
      </c>
    </row>
    <row r="61" spans="1:6" x14ac:dyDescent="0.25">
      <c r="A61" t="s">
        <v>397</v>
      </c>
      <c r="B61" t="s">
        <v>134</v>
      </c>
      <c r="C61">
        <v>-2.2800000000000002</v>
      </c>
      <c r="F61" t="s">
        <v>375</v>
      </c>
    </row>
    <row r="62" spans="1:6" x14ac:dyDescent="0.25">
      <c r="A62" t="s">
        <v>398</v>
      </c>
      <c r="B62" t="s">
        <v>134</v>
      </c>
      <c r="C62">
        <v>16.966129707239677</v>
      </c>
      <c r="F62" t="s">
        <v>375</v>
      </c>
    </row>
    <row r="63" spans="1:6" x14ac:dyDescent="0.25">
      <c r="A63" t="s">
        <v>399</v>
      </c>
      <c r="B63" t="s">
        <v>134</v>
      </c>
      <c r="C63">
        <v>24.931681951672569</v>
      </c>
      <c r="F63" t="s">
        <v>375</v>
      </c>
    </row>
    <row r="64" spans="1:6" x14ac:dyDescent="0.25">
      <c r="A64" t="s">
        <v>400</v>
      </c>
      <c r="B64" t="s">
        <v>134</v>
      </c>
      <c r="C64">
        <v>38.007698072023132</v>
      </c>
      <c r="F64" t="s">
        <v>375</v>
      </c>
    </row>
    <row r="65" spans="1:6" x14ac:dyDescent="0.25">
      <c r="A65" t="s">
        <v>401</v>
      </c>
      <c r="B65" t="s">
        <v>134</v>
      </c>
      <c r="C65">
        <v>42.230775635581253</v>
      </c>
      <c r="F65" t="s">
        <v>375</v>
      </c>
    </row>
    <row r="66" spans="1:6" x14ac:dyDescent="0.25">
      <c r="A66" t="s">
        <v>402</v>
      </c>
      <c r="B66" t="s">
        <v>134</v>
      </c>
      <c r="C66">
        <v>3.6377414361906815</v>
      </c>
      <c r="F66" t="s">
        <v>375</v>
      </c>
    </row>
    <row r="67" spans="1:6" x14ac:dyDescent="0.25">
      <c r="A67" t="s">
        <v>408</v>
      </c>
      <c r="B67" t="s">
        <v>168</v>
      </c>
      <c r="C67" t="s">
        <v>484</v>
      </c>
      <c r="F67" t="s">
        <v>375</v>
      </c>
    </row>
    <row r="68" spans="1:6" x14ac:dyDescent="0.25">
      <c r="A68" t="s">
        <v>409</v>
      </c>
      <c r="B68" t="s">
        <v>168</v>
      </c>
      <c r="C68">
        <v>-4.2816221503741286E-2</v>
      </c>
      <c r="F68" t="s">
        <v>375</v>
      </c>
    </row>
    <row r="69" spans="1:6" x14ac:dyDescent="0.25">
      <c r="A69" t="s">
        <v>410</v>
      </c>
      <c r="B69" t="s">
        <v>168</v>
      </c>
      <c r="C69" t="b">
        <v>0</v>
      </c>
      <c r="F69" t="s">
        <v>375</v>
      </c>
    </row>
    <row r="70" spans="1:6" x14ac:dyDescent="0.25">
      <c r="A70" t="s">
        <v>411</v>
      </c>
      <c r="B70" t="s">
        <v>168</v>
      </c>
      <c r="C70">
        <v>0.254</v>
      </c>
      <c r="F70" t="s">
        <v>375</v>
      </c>
    </row>
    <row r="71" spans="1:6" x14ac:dyDescent="0.25">
      <c r="A71" t="s">
        <v>412</v>
      </c>
      <c r="B71" t="s">
        <v>168</v>
      </c>
      <c r="C71">
        <v>0.127</v>
      </c>
      <c r="F71" t="s">
        <v>375</v>
      </c>
    </row>
    <row r="72" spans="1:6" x14ac:dyDescent="0.25">
      <c r="A72" t="s">
        <v>413</v>
      </c>
      <c r="B72" t="s">
        <v>168</v>
      </c>
      <c r="C72">
        <v>14500</v>
      </c>
      <c r="F72" t="s">
        <v>375</v>
      </c>
    </row>
    <row r="73" spans="1:6" x14ac:dyDescent="0.25">
      <c r="A73" t="s">
        <v>414</v>
      </c>
      <c r="B73" t="s">
        <v>168</v>
      </c>
      <c r="C73" t="s">
        <v>485</v>
      </c>
      <c r="F73" t="s">
        <v>375</v>
      </c>
    </row>
    <row r="74" spans="1:6" x14ac:dyDescent="0.25">
      <c r="A74" t="s">
        <v>415</v>
      </c>
      <c r="B74" t="s">
        <v>168</v>
      </c>
      <c r="C74" t="s">
        <v>486</v>
      </c>
      <c r="F74" t="s">
        <v>375</v>
      </c>
    </row>
    <row r="75" spans="1:6" x14ac:dyDescent="0.25">
      <c r="A75" t="s">
        <v>416</v>
      </c>
      <c r="B75" t="s">
        <v>168</v>
      </c>
      <c r="C75" t="s">
        <v>487</v>
      </c>
      <c r="F75" t="s">
        <v>375</v>
      </c>
    </row>
    <row r="76" spans="1:6" x14ac:dyDescent="0.25">
      <c r="A76" t="s">
        <v>417</v>
      </c>
      <c r="B76" t="s">
        <v>168</v>
      </c>
      <c r="C76" t="s">
        <v>487</v>
      </c>
      <c r="F76" t="s">
        <v>375</v>
      </c>
    </row>
    <row r="77" spans="1:6" x14ac:dyDescent="0.25">
      <c r="A77" t="s">
        <v>418</v>
      </c>
      <c r="B77" t="s">
        <v>168</v>
      </c>
      <c r="C77" t="s">
        <v>487</v>
      </c>
      <c r="F77" t="s">
        <v>375</v>
      </c>
    </row>
    <row r="78" spans="1:6" x14ac:dyDescent="0.25">
      <c r="A78" t="s">
        <v>419</v>
      </c>
      <c r="B78" t="s">
        <v>168</v>
      </c>
      <c r="C78" t="s">
        <v>487</v>
      </c>
      <c r="F78" t="s">
        <v>375</v>
      </c>
    </row>
    <row r="79" spans="1:6" x14ac:dyDescent="0.25">
      <c r="A79" t="s">
        <v>420</v>
      </c>
      <c r="B79" t="s">
        <v>168</v>
      </c>
      <c r="C79" t="s">
        <v>487</v>
      </c>
      <c r="F79" t="s">
        <v>375</v>
      </c>
    </row>
    <row r="80" spans="1:6" x14ac:dyDescent="0.25">
      <c r="A80" t="s">
        <v>421</v>
      </c>
      <c r="B80" t="s">
        <v>168</v>
      </c>
      <c r="C80" t="s">
        <v>487</v>
      </c>
      <c r="F80" t="s">
        <v>375</v>
      </c>
    </row>
    <row r="81" spans="1:6" x14ac:dyDescent="0.25">
      <c r="A81" t="s">
        <v>422</v>
      </c>
      <c r="B81" t="s">
        <v>168</v>
      </c>
      <c r="C81" t="s">
        <v>487</v>
      </c>
      <c r="F81" t="s">
        <v>375</v>
      </c>
    </row>
    <row r="82" spans="1:6" x14ac:dyDescent="0.25">
      <c r="A82" t="s">
        <v>423</v>
      </c>
      <c r="B82" t="s">
        <v>168</v>
      </c>
      <c r="C82" t="s">
        <v>487</v>
      </c>
      <c r="F82" t="s">
        <v>375</v>
      </c>
    </row>
    <row r="83" spans="1:6" x14ac:dyDescent="0.25">
      <c r="A83" t="s">
        <v>424</v>
      </c>
      <c r="B83" t="s">
        <v>168</v>
      </c>
      <c r="C83" t="s">
        <v>488</v>
      </c>
      <c r="F83" t="s">
        <v>375</v>
      </c>
    </row>
    <row r="84" spans="1:6" x14ac:dyDescent="0.25">
      <c r="A84" t="s">
        <v>425</v>
      </c>
      <c r="B84" t="s">
        <v>168</v>
      </c>
      <c r="C84">
        <v>890</v>
      </c>
      <c r="F84" t="s">
        <v>375</v>
      </c>
    </row>
    <row r="85" spans="1:6" x14ac:dyDescent="0.25">
      <c r="A85" t="s">
        <v>426</v>
      </c>
      <c r="B85" t="s">
        <v>168</v>
      </c>
      <c r="C85">
        <v>60</v>
      </c>
      <c r="F85" t="s">
        <v>375</v>
      </c>
    </row>
    <row r="86" spans="1:6" x14ac:dyDescent="0.25">
      <c r="A86" t="s">
        <v>427</v>
      </c>
      <c r="B86" t="s">
        <v>168</v>
      </c>
      <c r="C86" t="s">
        <v>489</v>
      </c>
      <c r="F86" t="s">
        <v>375</v>
      </c>
    </row>
    <row r="87" spans="1:6" x14ac:dyDescent="0.25">
      <c r="A87" t="s">
        <v>428</v>
      </c>
      <c r="B87" t="s">
        <v>168</v>
      </c>
      <c r="C87" t="s">
        <v>487</v>
      </c>
      <c r="F87" t="s">
        <v>375</v>
      </c>
    </row>
    <row r="88" spans="1:6" x14ac:dyDescent="0.25">
      <c r="A88" t="s">
        <v>429</v>
      </c>
      <c r="B88" t="s">
        <v>168</v>
      </c>
      <c r="C88" t="s">
        <v>490</v>
      </c>
      <c r="F88" t="s">
        <v>375</v>
      </c>
    </row>
    <row r="89" spans="1:6" x14ac:dyDescent="0.25">
      <c r="A89" t="s">
        <v>430</v>
      </c>
      <c r="B89" t="s">
        <v>168</v>
      </c>
      <c r="C89" t="s">
        <v>491</v>
      </c>
      <c r="F89" t="s">
        <v>375</v>
      </c>
    </row>
    <row r="90" spans="1:6" x14ac:dyDescent="0.25">
      <c r="A90" t="s">
        <v>431</v>
      </c>
      <c r="B90" t="s">
        <v>168</v>
      </c>
      <c r="C90" t="s">
        <v>492</v>
      </c>
      <c r="F90" t="s">
        <v>375</v>
      </c>
    </row>
    <row r="91" spans="1:6" x14ac:dyDescent="0.25">
      <c r="A91" t="s">
        <v>432</v>
      </c>
      <c r="B91" t="s">
        <v>168</v>
      </c>
      <c r="C91" t="s">
        <v>493</v>
      </c>
      <c r="F91" t="s">
        <v>375</v>
      </c>
    </row>
    <row r="92" spans="1:6" x14ac:dyDescent="0.25">
      <c r="A92" t="s">
        <v>433</v>
      </c>
      <c r="B92" t="s">
        <v>168</v>
      </c>
      <c r="C92" t="s">
        <v>494</v>
      </c>
      <c r="F92" t="s">
        <v>375</v>
      </c>
    </row>
    <row r="93" spans="1:6" x14ac:dyDescent="0.25">
      <c r="A93" t="s">
        <v>434</v>
      </c>
      <c r="B93" t="s">
        <v>168</v>
      </c>
      <c r="C93" t="s">
        <v>495</v>
      </c>
      <c r="F93" t="s">
        <v>375</v>
      </c>
    </row>
    <row r="94" spans="1:6" x14ac:dyDescent="0.25">
      <c r="A94" t="s">
        <v>435</v>
      </c>
      <c r="B94" t="s">
        <v>168</v>
      </c>
      <c r="C94" t="s">
        <v>496</v>
      </c>
      <c r="F94" t="s">
        <v>375</v>
      </c>
    </row>
    <row r="95" spans="1:6" x14ac:dyDescent="0.25">
      <c r="A95" t="s">
        <v>436</v>
      </c>
      <c r="B95" t="s">
        <v>263</v>
      </c>
      <c r="C95">
        <v>27.630496754505511</v>
      </c>
      <c r="F95" t="s">
        <v>375</v>
      </c>
    </row>
    <row r="96" spans="1:6" x14ac:dyDescent="0.25">
      <c r="A96" t="s">
        <v>437</v>
      </c>
      <c r="B96" t="s">
        <v>263</v>
      </c>
      <c r="C96">
        <v>0</v>
      </c>
      <c r="F96" t="s">
        <v>375</v>
      </c>
    </row>
    <row r="97" spans="1:6" x14ac:dyDescent="0.25">
      <c r="A97" t="s">
        <v>438</v>
      </c>
      <c r="B97" t="s">
        <v>263</v>
      </c>
      <c r="C97" t="s">
        <v>497</v>
      </c>
      <c r="F97" t="s">
        <v>375</v>
      </c>
    </row>
    <row r="98" spans="1:6" x14ac:dyDescent="0.25">
      <c r="A98" t="s">
        <v>439</v>
      </c>
      <c r="B98" t="s">
        <v>263</v>
      </c>
      <c r="C98">
        <v>72.102440957348392</v>
      </c>
      <c r="F98" t="s">
        <v>375</v>
      </c>
    </row>
    <row r="99" spans="1:6" x14ac:dyDescent="0.25">
      <c r="A99" t="s">
        <v>440</v>
      </c>
      <c r="B99" t="s">
        <v>263</v>
      </c>
      <c r="C99">
        <v>0</v>
      </c>
      <c r="F99" t="s">
        <v>375</v>
      </c>
    </row>
    <row r="100" spans="1:6" x14ac:dyDescent="0.25">
      <c r="A100" t="s">
        <v>441</v>
      </c>
      <c r="B100" t="s">
        <v>263</v>
      </c>
      <c r="C100">
        <v>-1.5897541217217701</v>
      </c>
      <c r="F100" t="s">
        <v>375</v>
      </c>
    </row>
    <row r="101" spans="1:6" x14ac:dyDescent="0.25">
      <c r="A101" t="s">
        <v>442</v>
      </c>
      <c r="B101" t="s">
        <v>263</v>
      </c>
      <c r="C101">
        <v>0</v>
      </c>
      <c r="F101" t="s">
        <v>375</v>
      </c>
    </row>
    <row r="102" spans="1:6" x14ac:dyDescent="0.25">
      <c r="A102" t="s">
        <v>443</v>
      </c>
      <c r="B102" t="s">
        <v>263</v>
      </c>
      <c r="C102">
        <v>4.0430929558410771</v>
      </c>
      <c r="F102" t="s">
        <v>375</v>
      </c>
    </row>
    <row r="103" spans="1:6" x14ac:dyDescent="0.25">
      <c r="A103" t="s">
        <v>444</v>
      </c>
      <c r="B103" t="s">
        <v>263</v>
      </c>
      <c r="C103">
        <v>0.3499087046048841</v>
      </c>
      <c r="F103" t="s">
        <v>375</v>
      </c>
    </row>
    <row r="104" spans="1:6" x14ac:dyDescent="0.25">
      <c r="A104" t="s">
        <v>445</v>
      </c>
      <c r="B104" t="s">
        <v>263</v>
      </c>
      <c r="C104">
        <v>5.3908788058035011</v>
      </c>
      <c r="F104" t="s">
        <v>375</v>
      </c>
    </row>
    <row r="105" spans="1:6" x14ac:dyDescent="0.25">
      <c r="A105" t="s">
        <v>446</v>
      </c>
      <c r="B105" t="s">
        <v>263</v>
      </c>
      <c r="C105">
        <v>6.0634765627759579</v>
      </c>
      <c r="F105" t="s">
        <v>375</v>
      </c>
    </row>
    <row r="106" spans="1:6" x14ac:dyDescent="0.25">
      <c r="A106" t="s">
        <v>447</v>
      </c>
      <c r="B106" t="s">
        <v>263</v>
      </c>
      <c r="C106">
        <v>35.824458576197159</v>
      </c>
      <c r="F106" t="s">
        <v>375</v>
      </c>
    </row>
    <row r="107" spans="1:6" x14ac:dyDescent="0.25">
      <c r="A107" t="s">
        <v>530</v>
      </c>
      <c r="B107" t="s">
        <v>263</v>
      </c>
      <c r="C107">
        <v>44.780573220246445</v>
      </c>
      <c r="F107" t="s">
        <v>375</v>
      </c>
    </row>
    <row r="108" spans="1:6" x14ac:dyDescent="0.25">
      <c r="A108" t="s">
        <v>448</v>
      </c>
      <c r="B108" t="s">
        <v>263</v>
      </c>
      <c r="C108">
        <v>15.78851883984732</v>
      </c>
      <c r="F108" t="s">
        <v>375</v>
      </c>
    </row>
    <row r="109" spans="1:6" x14ac:dyDescent="0.25">
      <c r="A109" t="s">
        <v>449</v>
      </c>
      <c r="B109" t="s">
        <v>263</v>
      </c>
      <c r="C109">
        <v>0.38346429214607308</v>
      </c>
      <c r="F109" t="s">
        <v>375</v>
      </c>
    </row>
    <row r="110" spans="1:6" x14ac:dyDescent="0.25">
      <c r="A110" t="s">
        <v>450</v>
      </c>
      <c r="B110" t="s">
        <v>263</v>
      </c>
      <c r="C110" t="s">
        <v>539</v>
      </c>
      <c r="F110" t="s">
        <v>375</v>
      </c>
    </row>
    <row r="111" spans="1:6" x14ac:dyDescent="0.25">
      <c r="A111" t="s">
        <v>451</v>
      </c>
      <c r="B111" t="s">
        <v>263</v>
      </c>
      <c r="C111">
        <v>210.59818457285559</v>
      </c>
      <c r="F111" t="s">
        <v>375</v>
      </c>
    </row>
    <row r="112" spans="1:6" x14ac:dyDescent="0.25">
      <c r="A112" t="s">
        <v>452</v>
      </c>
      <c r="B112" t="s">
        <v>263</v>
      </c>
      <c r="C112">
        <v>0.249319539769885</v>
      </c>
      <c r="F112" t="s">
        <v>375</v>
      </c>
    </row>
    <row r="113" spans="1:6" x14ac:dyDescent="0.25">
      <c r="A113" t="s">
        <v>453</v>
      </c>
      <c r="B113" t="s">
        <v>263</v>
      </c>
      <c r="C113" t="s">
        <v>498</v>
      </c>
      <c r="F113" t="s">
        <v>375</v>
      </c>
    </row>
    <row r="114" spans="1:6" x14ac:dyDescent="0.25">
      <c r="A114" t="s">
        <v>454</v>
      </c>
      <c r="B114" t="s">
        <v>263</v>
      </c>
      <c r="C114">
        <v>10.35552938735983</v>
      </c>
      <c r="F114" t="s">
        <v>375</v>
      </c>
    </row>
    <row r="115" spans="1:6" x14ac:dyDescent="0.25">
      <c r="A115" t="s">
        <v>455</v>
      </c>
      <c r="B115" t="s">
        <v>263</v>
      </c>
      <c r="C115">
        <v>323.73645427492852</v>
      </c>
      <c r="F115" t="s">
        <v>375</v>
      </c>
    </row>
    <row r="116" spans="1:6" x14ac:dyDescent="0.25">
      <c r="A116" t="s">
        <v>456</v>
      </c>
      <c r="B116" t="s">
        <v>263</v>
      </c>
      <c r="C116">
        <v>20.793297705941828</v>
      </c>
      <c r="F116" t="s">
        <v>375</v>
      </c>
    </row>
    <row r="117" spans="1:6" x14ac:dyDescent="0.25">
      <c r="A117" t="s">
        <v>457</v>
      </c>
      <c r="B117" t="s">
        <v>263</v>
      </c>
      <c r="C117">
        <v>0.30965445458432234</v>
      </c>
      <c r="F117" t="s">
        <v>375</v>
      </c>
    </row>
    <row r="118" spans="1:6" x14ac:dyDescent="0.25">
      <c r="A118" t="s">
        <v>458</v>
      </c>
      <c r="B118" t="s">
        <v>263</v>
      </c>
      <c r="C118">
        <v>3.3914500000000003</v>
      </c>
      <c r="F118" t="s">
        <v>375</v>
      </c>
    </row>
    <row r="119" spans="1:6" x14ac:dyDescent="0.25">
      <c r="A119" t="s">
        <v>459</v>
      </c>
      <c r="B119" t="s">
        <v>263</v>
      </c>
      <c r="C119">
        <v>33.270124500000001</v>
      </c>
      <c r="F119" t="s">
        <v>375</v>
      </c>
    </row>
    <row r="120" spans="1:6" x14ac:dyDescent="0.25">
      <c r="A120" t="s">
        <v>460</v>
      </c>
      <c r="B120" t="s">
        <v>263</v>
      </c>
      <c r="C120">
        <v>16.616876525517039</v>
      </c>
      <c r="F120" t="s">
        <v>375</v>
      </c>
    </row>
    <row r="121" spans="1:6" x14ac:dyDescent="0.25">
      <c r="A121" t="s">
        <v>461</v>
      </c>
      <c r="B121" t="s">
        <v>263</v>
      </c>
      <c r="C121">
        <v>7.8800000000000009E-2</v>
      </c>
      <c r="F121" t="s">
        <v>375</v>
      </c>
    </row>
    <row r="122" spans="1:6" x14ac:dyDescent="0.25">
      <c r="A122" t="s">
        <v>462</v>
      </c>
      <c r="B122" t="s">
        <v>263</v>
      </c>
      <c r="C122">
        <v>63.181510187686712</v>
      </c>
      <c r="F122" t="s">
        <v>375</v>
      </c>
    </row>
    <row r="123" spans="1:6" x14ac:dyDescent="0.25">
      <c r="A123" t="s">
        <v>531</v>
      </c>
      <c r="B123" t="s">
        <v>263</v>
      </c>
      <c r="C123">
        <v>0.32053245055726265</v>
      </c>
      <c r="F123" t="s">
        <v>375</v>
      </c>
    </row>
    <row r="124" spans="1:6" x14ac:dyDescent="0.25">
      <c r="A124" t="s">
        <v>532</v>
      </c>
      <c r="B124" t="s">
        <v>263</v>
      </c>
      <c r="C124">
        <v>17.994886768658841</v>
      </c>
      <c r="F124" t="s">
        <v>375</v>
      </c>
    </row>
    <row r="125" spans="1:6" x14ac:dyDescent="0.25">
      <c r="A125" t="s">
        <v>533</v>
      </c>
      <c r="B125" t="s">
        <v>263</v>
      </c>
      <c r="C125">
        <v>4.9927276513166419E-3</v>
      </c>
      <c r="F125" t="s">
        <v>375</v>
      </c>
    </row>
    <row r="126" spans="1:6" x14ac:dyDescent="0.25">
      <c r="A126" t="s">
        <v>534</v>
      </c>
      <c r="B126" t="s">
        <v>263</v>
      </c>
      <c r="C126">
        <v>6.1313930904751146</v>
      </c>
      <c r="F126" t="s">
        <v>375</v>
      </c>
    </row>
    <row r="127" spans="1:6" x14ac:dyDescent="0.25">
      <c r="A127" t="s">
        <v>535</v>
      </c>
      <c r="B127" t="s">
        <v>263</v>
      </c>
      <c r="C127">
        <v>62.887982433591418</v>
      </c>
      <c r="F127" t="s">
        <v>375</v>
      </c>
    </row>
    <row r="128" spans="1:6" x14ac:dyDescent="0.25">
      <c r="A128" t="s">
        <v>536</v>
      </c>
      <c r="B128" t="s">
        <v>263</v>
      </c>
      <c r="C128">
        <v>19.968183242936565</v>
      </c>
      <c r="F128" t="s">
        <v>375</v>
      </c>
    </row>
    <row r="129" spans="1:6" x14ac:dyDescent="0.25">
      <c r="A129" t="s">
        <v>537</v>
      </c>
      <c r="B129" t="s">
        <v>263</v>
      </c>
      <c r="C129">
        <v>0.10262510605021724</v>
      </c>
      <c r="F129" t="s">
        <v>375</v>
      </c>
    </row>
    <row r="130" spans="1:6" x14ac:dyDescent="0.25">
      <c r="A130" t="s">
        <v>538</v>
      </c>
      <c r="B130" t="s">
        <v>263</v>
      </c>
      <c r="C130">
        <v>72.095248444491872</v>
      </c>
      <c r="F130" t="s">
        <v>375</v>
      </c>
    </row>
    <row r="131" spans="1:6" x14ac:dyDescent="0.25">
      <c r="A131" t="s">
        <v>463</v>
      </c>
      <c r="B131" t="s">
        <v>483</v>
      </c>
      <c r="C131">
        <v>0.3</v>
      </c>
      <c r="F131" t="s">
        <v>375</v>
      </c>
    </row>
    <row r="132" spans="1:6" x14ac:dyDescent="0.25">
      <c r="A132" t="s">
        <v>464</v>
      </c>
      <c r="B132" t="s">
        <v>483</v>
      </c>
      <c r="C132">
        <v>27.176996615837602</v>
      </c>
      <c r="F132" t="s">
        <v>375</v>
      </c>
    </row>
    <row r="133" spans="1:6" x14ac:dyDescent="0.25">
      <c r="A133" t="s">
        <v>465</v>
      </c>
      <c r="B133" t="s">
        <v>483</v>
      </c>
      <c r="C133">
        <v>2.8230033841623978</v>
      </c>
      <c r="F133" t="s">
        <v>375</v>
      </c>
    </row>
    <row r="134" spans="1:6" x14ac:dyDescent="0.25">
      <c r="A134" t="s">
        <v>466</v>
      </c>
      <c r="B134" t="s">
        <v>483</v>
      </c>
      <c r="C134">
        <v>0.25</v>
      </c>
      <c r="F134" t="s">
        <v>375</v>
      </c>
    </row>
    <row r="135" spans="1:6" x14ac:dyDescent="0.25">
      <c r="A135" t="s">
        <v>467</v>
      </c>
      <c r="B135" t="s">
        <v>483</v>
      </c>
      <c r="C135">
        <v>0.7</v>
      </c>
      <c r="F135" t="s">
        <v>375</v>
      </c>
    </row>
    <row r="136" spans="1:6" x14ac:dyDescent="0.25">
      <c r="A136" t="s">
        <v>468</v>
      </c>
      <c r="B136" t="s">
        <v>483</v>
      </c>
      <c r="C136">
        <v>1</v>
      </c>
      <c r="F136" t="s">
        <v>375</v>
      </c>
    </row>
    <row r="137" spans="1:6" x14ac:dyDescent="0.25">
      <c r="A137" t="s">
        <v>469</v>
      </c>
      <c r="B137" t="s">
        <v>483</v>
      </c>
      <c r="C137">
        <v>0.12043337304073547</v>
      </c>
      <c r="F137" t="s">
        <v>375</v>
      </c>
    </row>
    <row r="138" spans="1:6" x14ac:dyDescent="0.25">
      <c r="A138" t="s">
        <v>470</v>
      </c>
      <c r="B138" t="s">
        <v>483</v>
      </c>
      <c r="C138">
        <v>119.60561578781872</v>
      </c>
      <c r="F138" t="s">
        <v>375</v>
      </c>
    </row>
    <row r="139" spans="1:6" x14ac:dyDescent="0.25">
      <c r="A139" t="s">
        <v>471</v>
      </c>
      <c r="B139" t="s">
        <v>483</v>
      </c>
      <c r="C139">
        <v>7.5217966021746033E-2</v>
      </c>
      <c r="F139" t="s">
        <v>375</v>
      </c>
    </row>
    <row r="140" spans="1:6" x14ac:dyDescent="0.25">
      <c r="A140" t="s">
        <v>472</v>
      </c>
      <c r="B140" t="s">
        <v>483</v>
      </c>
      <c r="C140">
        <v>1.07</v>
      </c>
      <c r="F140" t="s">
        <v>375</v>
      </c>
    </row>
    <row r="141" spans="1:6" x14ac:dyDescent="0.25">
      <c r="A141" t="s">
        <v>473</v>
      </c>
      <c r="B141" t="s">
        <v>483</v>
      </c>
      <c r="C141">
        <v>0.3</v>
      </c>
      <c r="F141" t="s">
        <v>375</v>
      </c>
    </row>
    <row r="142" spans="1:6" x14ac:dyDescent="0.25">
      <c r="A142" t="s">
        <v>474</v>
      </c>
      <c r="B142" t="s">
        <v>483</v>
      </c>
      <c r="C142">
        <v>29.162154556467332</v>
      </c>
      <c r="F142" t="s">
        <v>375</v>
      </c>
    </row>
    <row r="143" spans="1:6" x14ac:dyDescent="0.25">
      <c r="A143" t="s">
        <v>475</v>
      </c>
      <c r="B143" t="s">
        <v>483</v>
      </c>
      <c r="C143">
        <v>0.83784544353266455</v>
      </c>
      <c r="F143" t="s">
        <v>375</v>
      </c>
    </row>
    <row r="144" spans="1:6" x14ac:dyDescent="0.25">
      <c r="A144" t="s">
        <v>476</v>
      </c>
      <c r="B144" t="s">
        <v>483</v>
      </c>
      <c r="C144">
        <v>5.2033621722920103</v>
      </c>
      <c r="F144" t="s">
        <v>375</v>
      </c>
    </row>
    <row r="145" spans="1:6" x14ac:dyDescent="0.25">
      <c r="A145" t="s">
        <v>477</v>
      </c>
      <c r="B145" t="s">
        <v>483</v>
      </c>
      <c r="C145">
        <v>0.3614852233974003</v>
      </c>
      <c r="F145" t="s">
        <v>375</v>
      </c>
    </row>
    <row r="146" spans="1:6" x14ac:dyDescent="0.25">
      <c r="A146" t="s">
        <v>478</v>
      </c>
      <c r="B146" t="s">
        <v>483</v>
      </c>
      <c r="C146">
        <v>0.15</v>
      </c>
      <c r="F146" t="s">
        <v>375</v>
      </c>
    </row>
    <row r="147" spans="1:6" x14ac:dyDescent="0.25">
      <c r="A147" t="s">
        <v>479</v>
      </c>
      <c r="B147" t="s">
        <v>483</v>
      </c>
      <c r="C147">
        <v>-0.78050432584380147</v>
      </c>
      <c r="F147" t="s">
        <v>375</v>
      </c>
    </row>
    <row r="148" spans="1:6" x14ac:dyDescent="0.25">
      <c r="A148" t="s">
        <v>480</v>
      </c>
      <c r="B148" t="s">
        <v>483</v>
      </c>
      <c r="C148">
        <v>0.12602616170797043</v>
      </c>
      <c r="F148" t="s">
        <v>375</v>
      </c>
    </row>
    <row r="149" spans="1:6" x14ac:dyDescent="0.25">
      <c r="A149" t="s">
        <v>481</v>
      </c>
      <c r="B149" t="s">
        <v>483</v>
      </c>
      <c r="C149">
        <v>5</v>
      </c>
      <c r="F149" t="s">
        <v>375</v>
      </c>
    </row>
    <row r="150" spans="1:6" x14ac:dyDescent="0.25">
      <c r="A150" t="s">
        <v>482</v>
      </c>
      <c r="B150" t="s">
        <v>483</v>
      </c>
      <c r="C150">
        <v>-0.18284158980285484</v>
      </c>
      <c r="F150" t="s"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D11" sqref="D11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25">
      <c r="A2" t="s">
        <v>274</v>
      </c>
      <c r="B2" s="21">
        <v>25.9</v>
      </c>
      <c r="C2" s="21">
        <v>0</v>
      </c>
      <c r="D2" s="21">
        <v>0.06</v>
      </c>
    </row>
    <row r="3" spans="1:4" x14ac:dyDescent="0.25">
      <c r="A3" s="22" t="s">
        <v>275</v>
      </c>
      <c r="B3" s="21">
        <v>210</v>
      </c>
      <c r="C3" s="21">
        <v>2.1999999999999999E-2</v>
      </c>
      <c r="D3" s="21">
        <v>0.06</v>
      </c>
    </row>
    <row r="4" spans="1:4" x14ac:dyDescent="0.25">
      <c r="A4" t="s">
        <v>276</v>
      </c>
      <c r="B4" s="21">
        <v>74.599999999999994</v>
      </c>
      <c r="C4" s="21">
        <v>7.0000000000000007E-2</v>
      </c>
      <c r="D4" s="21">
        <v>5.6000000000000001E-2</v>
      </c>
    </row>
    <row r="5" spans="1:4" x14ac:dyDescent="0.25">
      <c r="A5" t="s">
        <v>277</v>
      </c>
      <c r="B5" s="21">
        <v>96.2</v>
      </c>
      <c r="C5" s="21">
        <v>0.13600000000000001</v>
      </c>
      <c r="D5" s="21">
        <v>1.7999999999999999E-2</v>
      </c>
    </row>
    <row r="6" spans="1:4" x14ac:dyDescent="0.25">
      <c r="A6" s="22" t="s">
        <v>302</v>
      </c>
      <c r="B6" s="21">
        <v>9</v>
      </c>
      <c r="C6" s="21">
        <v>1.254</v>
      </c>
      <c r="D6" s="21">
        <v>-2.1999999999999999E-2</v>
      </c>
    </row>
    <row r="7" spans="1:4" x14ac:dyDescent="0.25">
      <c r="A7" t="s">
        <v>278</v>
      </c>
      <c r="B7" s="21">
        <v>451</v>
      </c>
      <c r="C7" s="21">
        <v>0.17199999999999999</v>
      </c>
      <c r="D7" s="21">
        <v>4.9000000000000002E-2</v>
      </c>
    </row>
    <row r="8" spans="1:4" x14ac:dyDescent="0.25">
      <c r="A8" t="s">
        <v>279</v>
      </c>
      <c r="B8" s="21">
        <v>119.9</v>
      </c>
      <c r="C8" s="21">
        <v>0.437</v>
      </c>
      <c r="D8" s="21">
        <v>5.2999999999999999E-2</v>
      </c>
    </row>
    <row r="9" spans="1:4" x14ac:dyDescent="0.25">
      <c r="A9" t="s">
        <v>280</v>
      </c>
      <c r="B9" s="21">
        <v>44.7</v>
      </c>
      <c r="C9" s="21">
        <v>0.56499999999999995</v>
      </c>
      <c r="D9" s="21">
        <v>8.6999999999999994E-2</v>
      </c>
    </row>
    <row r="10" spans="1:4" x14ac:dyDescent="0.25">
      <c r="A10" t="s">
        <v>281</v>
      </c>
      <c r="B10" s="21">
        <v>0.05</v>
      </c>
      <c r="C10" s="21">
        <v>0.33200000000000002</v>
      </c>
      <c r="D10" s="21">
        <v>0.125</v>
      </c>
    </row>
    <row r="11" spans="1:4" x14ac:dyDescent="0.25">
      <c r="A11" t="s">
        <v>282</v>
      </c>
      <c r="B11" s="21">
        <v>20.7</v>
      </c>
      <c r="C11" s="21">
        <v>0.46200000000000002</v>
      </c>
      <c r="D11" s="21">
        <v>0.14599999999999999</v>
      </c>
    </row>
    <row r="12" spans="1:4" x14ac:dyDescent="0.25">
      <c r="A12" t="s">
        <v>283</v>
      </c>
      <c r="B12" s="21">
        <v>20.7</v>
      </c>
      <c r="C12" s="21">
        <v>0.46200000000000002</v>
      </c>
      <c r="D12" s="21">
        <v>0.14599999999999999</v>
      </c>
    </row>
    <row r="13" spans="1:4" x14ac:dyDescent="0.25">
      <c r="A13" t="s">
        <v>284</v>
      </c>
      <c r="B13" s="20">
        <v>520</v>
      </c>
      <c r="C13" s="21">
        <v>0.32700000000000001</v>
      </c>
      <c r="D13" s="21">
        <v>3.2000000000000001E-2</v>
      </c>
    </row>
    <row r="14" spans="1:4" x14ac:dyDescent="0.25">
      <c r="A14" t="s">
        <v>285</v>
      </c>
      <c r="B14" s="21">
        <v>688.5</v>
      </c>
      <c r="C14" s="21">
        <v>0.39500000000000002</v>
      </c>
      <c r="D14" s="21">
        <v>0.126</v>
      </c>
    </row>
    <row r="15" spans="1:4" x14ac:dyDescent="0.25">
      <c r="A15" s="22" t="s">
        <v>286</v>
      </c>
      <c r="B15" s="21">
        <v>256</v>
      </c>
      <c r="C15" s="21">
        <v>0.249</v>
      </c>
      <c r="D15" s="21">
        <v>-4.3999999999999997E-2</v>
      </c>
    </row>
    <row r="16" spans="1:4" x14ac:dyDescent="0.25">
      <c r="A16" t="s">
        <v>287</v>
      </c>
      <c r="B16" s="21">
        <v>763.7</v>
      </c>
      <c r="C16" s="21">
        <v>0.29799999999999999</v>
      </c>
      <c r="D16" s="21">
        <v>4.5999999999999999E-2</v>
      </c>
    </row>
    <row r="17" spans="1:4" x14ac:dyDescent="0.25">
      <c r="A17" t="s">
        <v>288</v>
      </c>
      <c r="B17" s="21">
        <v>22</v>
      </c>
      <c r="C17" s="21">
        <v>1.1879999999999999</v>
      </c>
      <c r="D17" s="21">
        <v>0.11700000000000001</v>
      </c>
    </row>
    <row r="18" spans="1:4" x14ac:dyDescent="0.25">
      <c r="A18" t="s">
        <v>289</v>
      </c>
      <c r="B18" s="21">
        <v>23.3</v>
      </c>
      <c r="C18" s="21">
        <v>1.1850000000000001</v>
      </c>
      <c r="D18" s="21">
        <v>7.2999999999999995E-2</v>
      </c>
    </row>
    <row r="19" spans="1:4" x14ac:dyDescent="0.25">
      <c r="A19" t="s">
        <v>291</v>
      </c>
      <c r="B19" s="21">
        <v>31.3</v>
      </c>
      <c r="C19" s="21">
        <v>1.2070000000000001</v>
      </c>
      <c r="D19" s="21">
        <v>7.6999999999999999E-2</v>
      </c>
    </row>
    <row r="20" spans="1:4" x14ac:dyDescent="0.25">
      <c r="A20" t="s">
        <v>290</v>
      </c>
      <c r="B20" s="21">
        <v>13.9</v>
      </c>
      <c r="C20" s="21">
        <v>1.2050000000000001</v>
      </c>
      <c r="D20" s="21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205</v>
      </c>
    </row>
    <row r="2" spans="1:6" x14ac:dyDescent="0.25">
      <c r="A2" s="3" t="s">
        <v>242</v>
      </c>
    </row>
    <row r="4" spans="1:6" x14ac:dyDescent="0.25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25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25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25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25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25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25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25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25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25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25">
      <c r="A14" s="2" t="s">
        <v>255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257</v>
      </c>
    </row>
    <row r="15" spans="1:6" x14ac:dyDescent="0.25">
      <c r="A15" s="2" t="s">
        <v>256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258</v>
      </c>
    </row>
    <row r="16" spans="1:6" x14ac:dyDescent="0.25">
      <c r="A16" s="4" t="s">
        <v>225</v>
      </c>
      <c r="B16" s="4"/>
      <c r="C16" s="4"/>
      <c r="D16" s="4"/>
    </row>
    <row r="17" spans="1:4" x14ac:dyDescent="0.25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230</v>
      </c>
      <c r="B21" s="4"/>
      <c r="C21" s="4"/>
      <c r="D21" s="4"/>
    </row>
    <row r="22" spans="1:4" x14ac:dyDescent="0.25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239</v>
      </c>
      <c r="B30" s="4"/>
      <c r="C30" s="4"/>
      <c r="D30" s="4"/>
    </row>
    <row r="31" spans="1:4" x14ac:dyDescent="0.25">
      <c r="A31" s="2" t="s">
        <v>240</v>
      </c>
      <c r="B31" s="14"/>
      <c r="C31" s="14"/>
      <c r="D31" s="14"/>
    </row>
    <row r="32" spans="1:4" x14ac:dyDescent="0.25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2026-10-07T15:27:12Z</dcterms:modified>
</cp:coreProperties>
</file>