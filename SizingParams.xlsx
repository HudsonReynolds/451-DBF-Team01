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6F94DF69-3291-4274-9E58-690B2C7675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7" i="2"/>
  <c r="D26" i="2" s="1"/>
  <c r="C7" i="2"/>
  <c r="C26" i="2" s="1"/>
  <c r="D6" i="2"/>
  <c r="D17" i="2" s="1"/>
  <c r="D18" i="2" s="1"/>
  <c r="C6" i="2"/>
  <c r="C17" i="2" s="1"/>
  <c r="C18" i="2" s="1"/>
  <c r="B6" i="2"/>
  <c r="B17" i="2" s="1"/>
  <c r="B18" i="2" s="1"/>
  <c r="B5" i="2"/>
  <c r="B7" i="2" s="1"/>
  <c r="B26" i="2" s="1"/>
  <c r="C91" i="1"/>
  <c r="D19" i="2" l="1"/>
  <c r="D24" i="2" s="1"/>
  <c r="D27" i="2" s="1"/>
  <c r="D28" i="2" s="1"/>
  <c r="D29" i="2" s="1"/>
  <c r="D20" i="2"/>
  <c r="C19" i="2"/>
  <c r="C24" i="2" s="1"/>
  <c r="C27" i="2" s="1"/>
  <c r="C28" i="2" s="1"/>
  <c r="C29" i="2" s="1"/>
  <c r="C20" i="2"/>
  <c r="B19" i="2"/>
  <c r="B20" i="2"/>
  <c r="B24" i="2" l="1"/>
  <c r="B27" i="2" s="1"/>
  <c r="B28" i="2" s="1"/>
  <c r="B29" i="2" s="1"/>
</calcChain>
</file>

<file path=xl/sharedStrings.xml><?xml version="1.0" encoding="utf-8"?>
<sst xmlns="http://schemas.openxmlformats.org/spreadsheetml/2006/main" count="1061" uniqueCount="520">
  <si>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</si>
  <si>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</si>
  <si>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</si>
  <si>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</si>
  <si>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</si>
  <si>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</si>
  <si>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</si>
  <si>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</si>
  <si>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</si>
  <si>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</si>
  <si>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</si>
  <si>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</si>
  <si>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</si>
  <si>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</si>
  <si>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</si>
  <si>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</si>
  <si>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</si>
  <si>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</si>
  <si>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</si>
  <si>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</si>
  <si>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</si>
  <si>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</si>
  <si>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</si>
  <si>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</si>
  <si>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</si>
  <si>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</si>
  <si>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</si>
  <si>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</si>
  <si>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</si>
  <si>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</si>
  <si>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</si>
  <si>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</si>
  <si>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</si>
  <si>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</si>
  <si>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</si>
  <si>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</si>
  <si>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</si>
  <si>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</si>
  <si>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</si>
  <si>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</si>
  <si>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</si>
  <si>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</si>
  <si>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</si>
  <si>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</si>
  <si>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</si>
  <si>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</si>
  <si>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</si>
  <si>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</si>
  <si>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</si>
  <si>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</si>
  <si>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</si>
  <si>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</si>
  <si>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</si>
  <si>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</si>
  <si>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</si>
  <si>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</si>
  <si>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</si>
  <si>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</si>
  <si>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</si>
  <si>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</si>
  <si>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</si>
  <si>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</si>
  <si>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</si>
  <si>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</si>
  <si>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</si>
  <si>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</si>
  <si>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</si>
  <si>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</si>
  <si>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</si>
  <si>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</si>
  <si>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</si>
  <si>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</si>
  <si>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</si>
  <si>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</si>
  <si>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</si>
  <si>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</si>
  <si>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</si>
  <si>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</si>
  <si>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</si>
  <si>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</si>
  <si>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</si>
  <si>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</si>
  <si>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</si>
  <si>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</si>
  <si>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</si>
  <si>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</si>
  <si>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</si>
  <si>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</si>
  <si>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</si>
  <si>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</si>
  <si>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</si>
  <si>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</si>
  <si>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</si>
  <si>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</si>
  <si>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</si>
  <si>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</si>
  <si>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</si>
  <si>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</si>
  <si>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</si>
  <si>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</si>
  <si>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</si>
  <si>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</si>
  <si>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</si>
  <si>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</si>
  <si>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</si>
  <si>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</si>
  <si>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</si>
  <si>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</si>
  <si>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</si>
  <si>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</si>
  <si>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</si>
  <si>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</si>
  <si>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</si>
  <si>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</si>
  <si>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</si>
  <si>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</si>
  <si>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</si>
  <si>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</si>
  <si>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</si>
  <si>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</si>
  <si>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</si>
  <si>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</si>
  <si>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</si>
  <si>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</si>
  <si>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</si>
  <si>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</si>
  <si>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</si>
  <si>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</si>
  <si>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</si>
  <si>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</si>
  <si>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</si>
  <si>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</si>
  <si>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</si>
  <si>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</si>
  <si>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</si>
  <si>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</si>
  <si>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</si>
  <si>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</si>
  <si>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</si>
  <si>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</si>
  <si>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</si>
  <si>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</si>
  <si>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</si>
  <si>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</si>
  <si>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</si>
  <si>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</si>
  <si>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</si>
  <si>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</si>
  <si>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</si>
  <si>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</si>
  <si>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</si>
  <si>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</si>
  <si>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</si>
  <si>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</si>
  <si>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</si>
  <si>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</si>
  <si>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</si>
  <si>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</si>
  <si>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</si>
  <si>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</si>
  <si>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</si>
  <si>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</si>
  <si>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</si>
  <si>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</si>
  <si>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</si>
  <si>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</si>
  <si>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</si>
  <si>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</si>
  <si>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</si>
  <si>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</si>
  <si>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</si>
  <si>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</si>
  <si>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</si>
  <si>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</si>
  <si>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</si>
  <si>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</si>
  <si>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</si>
  <si>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</si>
  <si>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</si>
  <si>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</si>
  <si>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</si>
  <si>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</si>
  <si>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</si>
  <si>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</si>
  <si>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</si>
  <si>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</si>
  <si>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</si>
  <si>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</si>
  <si>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</si>
  <si>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</si>
  <si>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</si>
  <si>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</si>
  <si>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</si>
  <si>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</si>
  <si>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</si>
  <si>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</si>
  <si>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</si>
  <si>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</si>
  <si>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</si>
  <si>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</si>
  <si>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</si>
  <si>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</si>
  <si>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</si>
  <si>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</si>
  <si>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</si>
  <si>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</si>
  <si>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</si>
  <si>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</si>
  <si>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</si>
  <si>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</si>
  <si>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</si>
  <si>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</si>
  <si>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</si>
  <si>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</si>
  <si>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</si>
  <si>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</si>
  <si>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</si>
  <si>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</si>
  <si>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</si>
  <si>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</si>
  <si>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</si>
  <si>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</si>
  <si>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</si>
  <si>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</si>
  <si>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</si>
  <si>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</si>
  <si>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</si>
  <si>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</si>
  <si>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</si>
  <si>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</si>
  <si>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</si>
  <si>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</si>
  <si>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</si>
  <si>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</si>
  <si>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</si>
  <si>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</si>
  <si>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</si>
  <si>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</si>
  <si>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</si>
  <si>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</si>
  <si>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</si>
  <si>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</si>
  <si>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</si>
  <si>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</si>
  <si>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</si>
  <si>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</si>
  <si>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</si>
  <si>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</si>
  <si>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</si>
  <si>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</si>
  <si>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</si>
  <si>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</si>
  <si>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</si>
  <si>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</si>
  <si>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</si>
  <si>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</si>
  <si>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</si>
  <si>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</si>
  <si>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</si>
  <si>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</si>
  <si>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</si>
  <si>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</si>
  <si>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</si>
  <si>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</si>
  <si>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</si>
  <si>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</si>
  <si>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</si>
  <si>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</si>
  <si>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</si>
  <si>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</si>
  <si>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</si>
  <si>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</si>
  <si>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</si>
  <si>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</si>
  <si>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</si>
  <si>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</si>
  <si>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</si>
  <si>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</si>
  <si>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</si>
  <si>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</si>
  <si>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</si>
  <si>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</si>
  <si>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</si>
  <si>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</si>
  <si>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</si>
  <si>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</si>
  <si>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</si>
  <si>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</si>
  <si>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</si>
  <si>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</si>
  <si>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</si>
  <si>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</si>
  <si>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</si>
  <si>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</si>
  <si>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</si>
  <si>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</si>
  <si>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</si>
  <si>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</si>
  <si>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</si>
  <si>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</si>
  <si>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</si>
  <si>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</si>
  <si>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</si>
  <si>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</si>
  <si>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</si>
  <si>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</si>
  <si>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</si>
  <si>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</si>
  <si>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</si>
  <si>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</si>
  <si>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</si>
  <si>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</si>
  <si>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</si>
  <si>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</si>
  <si>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</si>
  <si>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</si>
  <si>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</si>
  <si>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</si>
  <si>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</si>
  <si>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</si>
  <si>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</si>
  <si>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</si>
  <si>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</si>
  <si>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</si>
  <si>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</si>
  <si>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</si>
  <si>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</si>
  <si>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</si>
  <si>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</si>
  <si>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</si>
  <si>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</si>
  <si>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</si>
  <si>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</si>
  <si>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</si>
  <si>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</si>
  <si>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</si>
  <si>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</si>
  <si>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</si>
  <si>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</si>
  <si>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</si>
  <si>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</si>
  <si>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</si>
  <si>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</si>
  <si>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</si>
  <si>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</si>
  <si>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</si>
  <si>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</si>
  <si>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</si>
  <si>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</si>
  <si>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</si>
  <si>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</si>
  <si>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</si>
  <si>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</si>
  <si>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</si>
  <si>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</si>
  <si>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</si>
  <si>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</si>
  <si>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</si>
  <si>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</si>
  <si>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</si>
  <si>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</si>
  <si>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</si>
  <si>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</si>
  <si>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</si>
  <si>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</si>
  <si>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</si>
  <si>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</si>
  <si>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</si>
  <si>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</si>
  <si>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</si>
  <si>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</si>
  <si>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</si>
  <si>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</si>
  <si>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</si>
  <si>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</si>
  <si>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</si>
  <si>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</si>
  <si>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</si>
  <si>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</si>
  <si>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</si>
  <si>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</si>
  <si>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</si>
  <si>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</si>
  <si>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</si>
  <si>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</si>
  <si>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</si>
  <si>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</si>
  <si>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</si>
  <si>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</si>
  <si>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</si>
  <si>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</si>
  <si>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</si>
  <si>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</si>
  <si>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</si>
  <si>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</si>
  <si>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</si>
  <si>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</si>
  <si>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</si>
  <si>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</si>
  <si>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</si>
  <si>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</si>
  <si>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</si>
  <si>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</si>
  <si>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</si>
  <si>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</si>
  <si>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</si>
  <si>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</si>
  <si>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</si>
  <si>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</si>
  <si>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</si>
  <si>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</si>
  <si>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</si>
  <si>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</si>
  <si>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</si>
  <si>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</si>
  <si>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</si>
  <si>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</si>
  <si>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</si>
  <si>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</si>
  <si>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</si>
  <si>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</si>
  <si>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</si>
  <si>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</si>
  <si>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</si>
  <si>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</si>
  <si>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</si>
  <si>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</si>
  <si>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</si>
  <si>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</si>
  <si>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</si>
  <si>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</si>
  <si>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</si>
  <si>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</si>
  <si>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</si>
  <si>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</si>
  <si>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</si>
  <si>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</si>
  <si>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</si>
  <si>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</si>
  <si>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</si>
  <si>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</si>
  <si>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</si>
  <si>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</si>
  <si>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</si>
  <si>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</si>
  <si>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</si>
  <si>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</si>
  <si>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</si>
  <si>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</si>
  <si>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</si>
  <si>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</si>
  <si>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</si>
  <si>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</si>
  <si>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</si>
  <si>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</si>
  <si>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</si>
  <si>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</si>
  <si>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</si>
  <si>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</si>
  <si>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</si>
  <si>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</si>
  <si>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</si>
  <si>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</si>
  <si>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</si>
  <si>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</si>
  <si>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</si>
  <si>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</si>
  <si>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</si>
  <si>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</si>
  <si>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</si>
  <si>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</si>
  <si>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</si>
  <si>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</si>
  <si>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</si>
  <si>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</si>
  <si>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</si>
  <si>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</si>
  <si>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</si>
  <si>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</si>
  <si>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</si>
  <si>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</si>
  <si>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</si>
  <si>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</si>
  <si>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</si>
  <si>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</si>
  <si>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</si>
  <si>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</si>
  <si>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</si>
  <si>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</si>
  <si>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</si>
  <si>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</si>
  <si>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</si>
  <si>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</si>
  <si>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</si>
  <si>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</si>
  <si>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</si>
  <si>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</si>
  <si>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</si>
  <si>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</si>
  <si>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</si>
  <si>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</si>
  <si>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</si>
  <si>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</si>
  <si>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</si>
  <si>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</si>
  <si>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</si>
  <si>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</si>
  <si>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</si>
  <si>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</si>
  <si>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T_static_actual</t>
  </si>
  <si>
    <t>fs_panel_plywood</t>
  </si>
  <si>
    <t>fs_planar_plywood</t>
  </si>
  <si>
    <t>Length that sticks out of fuselage</t>
  </si>
  <si>
    <t>bolt_OD</t>
  </si>
  <si>
    <t>MoS_gear_vm</t>
  </si>
  <si>
    <t>MoS_wing_joint</t>
  </si>
  <si>
    <t>MoS_boom_joint</t>
  </si>
  <si>
    <t>MoS_motor_mount</t>
  </si>
  <si>
    <t>MoS_gear_mount</t>
  </si>
  <si>
    <t>Written by writeOutputs.m on 2026-10-08 09:18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</si>
</sst>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9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8" totalsRowShown="0">
  <autoFilter ref="A1:F148" xr:uid="{00000000-0009-0000-0100-000001000000}"/>
  <sortState xmlns:xlrd2="http://schemas.microsoft.com/office/spreadsheetml/2017/richdata2" ref="A2:E43">
    <sortCondition ref="B1:B102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3"/>
  <sheetViews>
    <sheetView tabSelected="1" topLeftCell="A109" zoomScale="115" zoomScaleNormal="115" workbookViewId="0">
      <selection activeCell="E132" sqref="E132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477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475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509</v>
      </c>
      <c r="B91" s="20" t="s">
        <v>168</v>
      </c>
      <c r="C91" s="20">
        <f>2.085*9.81</f>
        <v>20.453849999999999</v>
      </c>
    </row>
    <row r="92" spans="1:5" x14ac:dyDescent="0.25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25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25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25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25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25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25">
      <c r="A98" t="s">
        <v>262</v>
      </c>
      <c r="B98" s="21" t="s">
        <v>263</v>
      </c>
      <c r="C98" s="21">
        <v>0.3</v>
      </c>
      <c r="D98" s="20" t="s">
        <v>8</v>
      </c>
      <c r="E98" t="s">
        <v>294</v>
      </c>
    </row>
    <row r="99" spans="1:5" x14ac:dyDescent="0.25">
      <c r="A99" t="s">
        <v>264</v>
      </c>
      <c r="B99" s="21" t="s">
        <v>263</v>
      </c>
      <c r="C99" s="21">
        <v>1</v>
      </c>
      <c r="D99" s="20" t="s">
        <v>8</v>
      </c>
      <c r="E99" t="s">
        <v>295</v>
      </c>
    </row>
    <row r="100" spans="1:5" x14ac:dyDescent="0.25">
      <c r="A100" t="s">
        <v>265</v>
      </c>
      <c r="B100" s="21" t="s">
        <v>263</v>
      </c>
      <c r="C100" s="21">
        <v>1</v>
      </c>
      <c r="D100" s="20" t="s">
        <v>8</v>
      </c>
      <c r="E100" t="s">
        <v>296</v>
      </c>
    </row>
    <row r="101" spans="1:5" x14ac:dyDescent="0.25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25">
      <c r="A102" t="s">
        <v>267</v>
      </c>
      <c r="B102" s="21" t="s">
        <v>263</v>
      </c>
      <c r="C102" s="21">
        <v>0.03</v>
      </c>
      <c r="D102" s="20" t="s">
        <v>59</v>
      </c>
      <c r="E102" t="s">
        <v>298</v>
      </c>
    </row>
    <row r="103" spans="1:5" x14ac:dyDescent="0.25">
      <c r="A103" t="s">
        <v>268</v>
      </c>
      <c r="B103" s="21" t="s">
        <v>263</v>
      </c>
      <c r="C103" s="21">
        <v>0.29499999999999998</v>
      </c>
      <c r="D103" s="20" t="s">
        <v>59</v>
      </c>
      <c r="E103" t="s">
        <v>299</v>
      </c>
    </row>
    <row r="104" spans="1:5" x14ac:dyDescent="0.25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25">
      <c r="A105" t="s">
        <v>270</v>
      </c>
      <c r="B105" s="21" t="s">
        <v>263</v>
      </c>
      <c r="C105" s="21">
        <v>35000</v>
      </c>
      <c r="D105" s="20" t="s">
        <v>271</v>
      </c>
      <c r="E105" t="s">
        <v>311</v>
      </c>
    </row>
    <row r="106" spans="1:5" x14ac:dyDescent="0.25">
      <c r="A106" t="s">
        <v>303</v>
      </c>
      <c r="B106" s="21" t="s">
        <v>263</v>
      </c>
      <c r="C106" s="21">
        <v>0.22</v>
      </c>
      <c r="D106" s="20" t="s">
        <v>59</v>
      </c>
      <c r="E106" t="s">
        <v>304</v>
      </c>
    </row>
    <row r="107" spans="1:5" x14ac:dyDescent="0.25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25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25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25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25">
      <c r="A111" s="23" t="s">
        <v>455</v>
      </c>
      <c r="B111" s="24" t="s">
        <v>456</v>
      </c>
      <c r="C111" s="24">
        <v>241</v>
      </c>
      <c r="D111" s="24" t="s">
        <v>457</v>
      </c>
      <c r="E111" t="s">
        <v>479</v>
      </c>
    </row>
    <row r="112" spans="1:5" x14ac:dyDescent="0.25">
      <c r="A112" s="25" t="s">
        <v>458</v>
      </c>
      <c r="B112" s="26" t="s">
        <v>456</v>
      </c>
      <c r="C112" s="27">
        <v>186</v>
      </c>
      <c r="D112" s="26" t="s">
        <v>457</v>
      </c>
      <c r="E112" t="s">
        <v>479</v>
      </c>
    </row>
    <row r="113" spans="1:5" x14ac:dyDescent="0.25">
      <c r="A113" s="23" t="s">
        <v>459</v>
      </c>
      <c r="B113" s="24" t="s">
        <v>456</v>
      </c>
      <c r="C113" s="24">
        <v>462</v>
      </c>
      <c r="D113" s="24" t="s">
        <v>457</v>
      </c>
      <c r="E113" t="s">
        <v>479</v>
      </c>
    </row>
    <row r="114" spans="1:5" x14ac:dyDescent="0.25">
      <c r="A114" s="25" t="s">
        <v>481</v>
      </c>
      <c r="B114" s="26" t="s">
        <v>456</v>
      </c>
      <c r="C114" s="26">
        <v>30</v>
      </c>
      <c r="D114" s="26" t="s">
        <v>457</v>
      </c>
      <c r="E114" t="s">
        <v>491</v>
      </c>
    </row>
    <row r="115" spans="1:5" x14ac:dyDescent="0.25">
      <c r="A115" s="25" t="s">
        <v>510</v>
      </c>
      <c r="B115" s="26" t="s">
        <v>456</v>
      </c>
      <c r="C115" s="26">
        <v>9.5</v>
      </c>
      <c r="D115" s="26" t="s">
        <v>457</v>
      </c>
      <c r="E115" t="s">
        <v>491</v>
      </c>
    </row>
    <row r="116" spans="1:5" x14ac:dyDescent="0.25">
      <c r="A116" s="25" t="s">
        <v>511</v>
      </c>
      <c r="B116" s="26" t="s">
        <v>456</v>
      </c>
      <c r="C116" s="26">
        <v>2.5</v>
      </c>
      <c r="D116" s="26" t="s">
        <v>457</v>
      </c>
      <c r="E116" t="s">
        <v>491</v>
      </c>
    </row>
    <row r="117" spans="1:5" x14ac:dyDescent="0.25">
      <c r="A117" s="23" t="s">
        <v>460</v>
      </c>
      <c r="B117" s="24" t="s">
        <v>456</v>
      </c>
      <c r="C117" s="28">
        <v>68900</v>
      </c>
      <c r="D117" s="24" t="s">
        <v>457</v>
      </c>
      <c r="E117" t="s">
        <v>480</v>
      </c>
    </row>
    <row r="118" spans="1:5" x14ac:dyDescent="0.25">
      <c r="A118" s="23" t="s">
        <v>476</v>
      </c>
      <c r="B118" s="24" t="s">
        <v>56</v>
      </c>
      <c r="C118" s="24">
        <v>0.14799999999999999</v>
      </c>
      <c r="D118" s="24" t="s">
        <v>59</v>
      </c>
      <c r="E118" t="s">
        <v>478</v>
      </c>
    </row>
    <row r="119" spans="1:5" x14ac:dyDescent="0.25">
      <c r="A119" s="23" t="s">
        <v>461</v>
      </c>
      <c r="B119" s="24" t="s">
        <v>56</v>
      </c>
      <c r="C119" s="24">
        <v>4.0000000000000001E-3</v>
      </c>
      <c r="D119" s="24" t="s">
        <v>59</v>
      </c>
    </row>
    <row r="120" spans="1:5" x14ac:dyDescent="0.25">
      <c r="A120" s="23" t="s">
        <v>462</v>
      </c>
      <c r="B120" s="24" t="s">
        <v>56</v>
      </c>
      <c r="C120" s="24">
        <v>0.04</v>
      </c>
      <c r="D120" s="24" t="s">
        <v>59</v>
      </c>
    </row>
    <row r="121" spans="1:5" x14ac:dyDescent="0.25">
      <c r="A121" s="23" t="s">
        <v>463</v>
      </c>
      <c r="B121" s="24" t="s">
        <v>56</v>
      </c>
      <c r="C121" s="24">
        <v>2.3E-2</v>
      </c>
      <c r="D121" s="24" t="s">
        <v>59</v>
      </c>
    </row>
    <row r="122" spans="1:5" x14ac:dyDescent="0.25">
      <c r="A122" s="23" t="s">
        <v>464</v>
      </c>
      <c r="B122" s="24" t="s">
        <v>56</v>
      </c>
      <c r="C122" s="24">
        <v>50</v>
      </c>
      <c r="D122" s="24" t="s">
        <v>23</v>
      </c>
    </row>
    <row r="123" spans="1:5" x14ac:dyDescent="0.25">
      <c r="A123" s="23" t="s">
        <v>465</v>
      </c>
      <c r="B123" s="24" t="s">
        <v>56</v>
      </c>
      <c r="C123" s="24">
        <v>0.09</v>
      </c>
      <c r="D123" s="24" t="s">
        <v>59</v>
      </c>
    </row>
    <row r="124" spans="1:5" x14ac:dyDescent="0.25">
      <c r="A124" s="23" t="s">
        <v>466</v>
      </c>
      <c r="B124" s="24" t="s">
        <v>56</v>
      </c>
      <c r="C124" s="24">
        <v>6.3499999999999997E-3</v>
      </c>
      <c r="D124" s="24" t="s">
        <v>59</v>
      </c>
    </row>
    <row r="125" spans="1:5" x14ac:dyDescent="0.25">
      <c r="A125" s="23" t="s">
        <v>467</v>
      </c>
      <c r="B125" s="24" t="s">
        <v>56</v>
      </c>
      <c r="C125" s="24">
        <v>1.2699999999999999E-2</v>
      </c>
      <c r="D125" s="24" t="s">
        <v>59</v>
      </c>
    </row>
    <row r="126" spans="1:5" x14ac:dyDescent="0.25">
      <c r="A126" s="23" t="s">
        <v>468</v>
      </c>
      <c r="B126" s="24" t="s">
        <v>56</v>
      </c>
      <c r="C126" s="24">
        <v>0.76</v>
      </c>
      <c r="D126" s="24" t="s">
        <v>59</v>
      </c>
    </row>
    <row r="127" spans="1:5" x14ac:dyDescent="0.25">
      <c r="A127" s="23" t="s">
        <v>469</v>
      </c>
      <c r="B127" s="24" t="s">
        <v>56</v>
      </c>
      <c r="C127" s="24">
        <v>1.524E-3</v>
      </c>
      <c r="D127" s="24" t="s">
        <v>59</v>
      </c>
    </row>
    <row r="128" spans="1:5" x14ac:dyDescent="0.25">
      <c r="A128" s="23" t="s">
        <v>470</v>
      </c>
      <c r="B128" s="24" t="s">
        <v>56</v>
      </c>
      <c r="C128" s="24">
        <v>1.2699999999999999E-2</v>
      </c>
      <c r="D128" s="24" t="s">
        <v>59</v>
      </c>
    </row>
    <row r="129" spans="1:5" x14ac:dyDescent="0.25">
      <c r="A129" s="23" t="s">
        <v>471</v>
      </c>
      <c r="B129" s="24" t="s">
        <v>56</v>
      </c>
      <c r="C129" s="24">
        <v>0.56499999999999995</v>
      </c>
      <c r="D129" s="24" t="s">
        <v>59</v>
      </c>
      <c r="E129" t="s">
        <v>512</v>
      </c>
    </row>
    <row r="130" spans="1:5" x14ac:dyDescent="0.25">
      <c r="A130" s="23" t="s">
        <v>472</v>
      </c>
      <c r="B130" s="24" t="s">
        <v>56</v>
      </c>
      <c r="C130" s="24">
        <v>1.524E-3</v>
      </c>
      <c r="D130" s="24" t="s">
        <v>59</v>
      </c>
    </row>
    <row r="131" spans="1:5" x14ac:dyDescent="0.25">
      <c r="A131" s="23" t="s">
        <v>473</v>
      </c>
      <c r="B131" s="24" t="s">
        <v>56</v>
      </c>
      <c r="C131" s="24">
        <v>8.9999999999999993E-3</v>
      </c>
      <c r="D131" s="24" t="s">
        <v>59</v>
      </c>
    </row>
    <row r="132" spans="1:5" x14ac:dyDescent="0.25">
      <c r="A132" s="25" t="s">
        <v>474</v>
      </c>
      <c r="B132" s="26" t="s">
        <v>56</v>
      </c>
      <c r="C132" s="26">
        <v>4.3E-3</v>
      </c>
      <c r="D132" s="26" t="s">
        <v>59</v>
      </c>
    </row>
    <row r="133" spans="1:5" x14ac:dyDescent="0.25">
      <c r="A133" t="s">
        <v>513</v>
      </c>
      <c r="B133" s="20" t="s">
        <v>56</v>
      </c>
      <c r="C133" s="20">
        <v>4.0000000000000001E-3</v>
      </c>
      <c r="D133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7"/>
  <sheetViews>
    <sheetView topLeftCell="A91" workbookViewId="0">
      <selection activeCell="A126" sqref="A126"/>
    </sheetView>
  </sheetViews>
  <sheetFormatPr defaultRowHeight="15" x14ac:dyDescent="0.25"/>
  <cols>
    <col min="1" max="1" width="40.7109375" customWidth="1"/>
    <col min="2" max="2" width="12.5703125" customWidth="1"/>
    <col min="3" max="3" width="33.42578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519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454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4.8546281926201837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47.623902569604006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34.655879425474303</v>
      </c>
      <c r="F50" t="s">
        <v>375</v>
      </c>
    </row>
    <row r="51" spans="1:6" x14ac:dyDescent="0.25">
      <c r="A51" t="s">
        <v>393</v>
      </c>
      <c r="B51" t="s">
        <v>134</v>
      </c>
      <c r="C51">
        <v>15.682651825415947</v>
      </c>
      <c r="F51" t="s">
        <v>375</v>
      </c>
    </row>
    <row r="52" spans="1:6" x14ac:dyDescent="0.25">
      <c r="A52" t="s">
        <v>394</v>
      </c>
      <c r="B52" t="s">
        <v>134</v>
      </c>
      <c r="C52">
        <v>3.8</v>
      </c>
      <c r="F52" t="s">
        <v>375</v>
      </c>
    </row>
    <row r="53" spans="1:6" x14ac:dyDescent="0.25">
      <c r="A53" t="s">
        <v>395</v>
      </c>
      <c r="B53" t="s">
        <v>134</v>
      </c>
      <c r="C53">
        <v>-1.52</v>
      </c>
      <c r="F53" t="s">
        <v>375</v>
      </c>
    </row>
    <row r="54" spans="1:6" x14ac:dyDescent="0.25">
      <c r="A54" t="s">
        <v>396</v>
      </c>
      <c r="B54" t="s">
        <v>134</v>
      </c>
      <c r="C54">
        <v>5.6999999999999993</v>
      </c>
      <c r="F54" t="s">
        <v>375</v>
      </c>
    </row>
    <row r="55" spans="1:6" x14ac:dyDescent="0.25">
      <c r="A55" t="s">
        <v>397</v>
      </c>
      <c r="B55" t="s">
        <v>134</v>
      </c>
      <c r="C55">
        <v>-2.2800000000000002</v>
      </c>
      <c r="F55" t="s">
        <v>375</v>
      </c>
    </row>
    <row r="56" spans="1:6" x14ac:dyDescent="0.25">
      <c r="A56" t="s">
        <v>398</v>
      </c>
      <c r="B56" t="s">
        <v>134</v>
      </c>
      <c r="C56">
        <v>16.966129707239677</v>
      </c>
      <c r="F56" t="s">
        <v>375</v>
      </c>
    </row>
    <row r="57" spans="1:6" x14ac:dyDescent="0.25">
      <c r="A57" t="s">
        <v>399</v>
      </c>
      <c r="B57" t="s">
        <v>134</v>
      </c>
      <c r="C57">
        <v>24.931681951672573</v>
      </c>
      <c r="F57" t="s">
        <v>375</v>
      </c>
    </row>
    <row r="58" spans="1:6" x14ac:dyDescent="0.25">
      <c r="A58" t="s">
        <v>400</v>
      </c>
      <c r="B58" t="s">
        <v>134</v>
      </c>
      <c r="C58">
        <v>38.987864353658594</v>
      </c>
      <c r="F58" t="s">
        <v>375</v>
      </c>
    </row>
    <row r="59" spans="1:6" x14ac:dyDescent="0.25">
      <c r="A59" t="s">
        <v>401</v>
      </c>
      <c r="B59" t="s">
        <v>134</v>
      </c>
      <c r="C59">
        <v>43.319849281842878</v>
      </c>
      <c r="F59" t="s">
        <v>375</v>
      </c>
    </row>
    <row r="60" spans="1:6" x14ac:dyDescent="0.25">
      <c r="A60" t="s">
        <v>402</v>
      </c>
      <c r="B60" t="s">
        <v>134</v>
      </c>
      <c r="C60">
        <v>3.6377414361906815</v>
      </c>
      <c r="F60" t="s">
        <v>375</v>
      </c>
    </row>
    <row r="61" spans="1:6" x14ac:dyDescent="0.25">
      <c r="A61" t="s">
        <v>403</v>
      </c>
      <c r="B61" t="s">
        <v>263</v>
      </c>
      <c r="C61">
        <v>27.630496754505511</v>
      </c>
      <c r="F61" t="s">
        <v>375</v>
      </c>
    </row>
    <row r="62" spans="1:6" x14ac:dyDescent="0.25">
      <c r="A62" t="s">
        <v>404</v>
      </c>
      <c r="B62" t="s">
        <v>263</v>
      </c>
      <c r="C62">
        <v>0</v>
      </c>
      <c r="F62" t="s">
        <v>375</v>
      </c>
    </row>
    <row r="63" spans="1:6" x14ac:dyDescent="0.25">
      <c r="A63" t="s">
        <v>405</v>
      </c>
      <c r="B63" t="s">
        <v>263</v>
      </c>
      <c r="C63" t="s">
        <v>451</v>
      </c>
      <c r="F63" t="s">
        <v>375</v>
      </c>
    </row>
    <row r="64" spans="1:6" x14ac:dyDescent="0.25">
      <c r="A64" t="s">
        <v>406</v>
      </c>
      <c r="B64" t="s">
        <v>263</v>
      </c>
      <c r="C64">
        <v>72.102440957348392</v>
      </c>
      <c r="F64" t="s">
        <v>375</v>
      </c>
    </row>
    <row r="65" spans="1:6" x14ac:dyDescent="0.25">
      <c r="A65" t="s">
        <v>407</v>
      </c>
      <c r="B65" t="s">
        <v>263</v>
      </c>
      <c r="C65">
        <v>0</v>
      </c>
      <c r="F65" t="s">
        <v>375</v>
      </c>
    </row>
    <row r="66" spans="1:6" x14ac:dyDescent="0.25">
      <c r="A66" t="s">
        <v>408</v>
      </c>
      <c r="B66" t="s">
        <v>263</v>
      </c>
      <c r="C66">
        <v>-1.5897541217217701</v>
      </c>
      <c r="F66" t="s">
        <v>375</v>
      </c>
    </row>
    <row r="67" spans="1:6" x14ac:dyDescent="0.25">
      <c r="A67" t="s">
        <v>409</v>
      </c>
      <c r="B67" t="s">
        <v>263</v>
      </c>
      <c r="C67">
        <v>0</v>
      </c>
      <c r="F67" t="s">
        <v>375</v>
      </c>
    </row>
    <row r="68" spans="1:6" x14ac:dyDescent="0.25">
      <c r="A68" t="s">
        <v>410</v>
      </c>
      <c r="B68" t="s">
        <v>263</v>
      </c>
      <c r="C68">
        <v>4.2603031906991697</v>
      </c>
      <c r="F68" t="s">
        <v>375</v>
      </c>
    </row>
    <row r="69" spans="1:6" x14ac:dyDescent="0.25">
      <c r="A69" t="s">
        <v>411</v>
      </c>
      <c r="B69" t="s">
        <v>263</v>
      </c>
      <c r="C69">
        <v>0.36870712273086736</v>
      </c>
      <c r="F69" t="s">
        <v>375</v>
      </c>
    </row>
    <row r="70" spans="1:6" x14ac:dyDescent="0.25">
      <c r="A70" t="s">
        <v>412</v>
      </c>
      <c r="B70" t="s">
        <v>263</v>
      </c>
      <c r="C70">
        <v>5.6725107333819</v>
      </c>
      <c r="F70" t="s">
        <v>375</v>
      </c>
    </row>
    <row r="71" spans="1:6" x14ac:dyDescent="0.25">
      <c r="A71" t="s">
        <v>413</v>
      </c>
      <c r="B71" t="s">
        <v>263</v>
      </c>
      <c r="C71">
        <v>6.3802465466165659</v>
      </c>
      <c r="F71" t="s">
        <v>375</v>
      </c>
    </row>
    <row r="72" spans="1:6" x14ac:dyDescent="0.25">
      <c r="A72" t="s">
        <v>414</v>
      </c>
      <c r="B72" t="s">
        <v>263</v>
      </c>
      <c r="C72">
        <v>37.69601081966541</v>
      </c>
      <c r="F72" t="s">
        <v>375</v>
      </c>
    </row>
    <row r="73" spans="1:6" x14ac:dyDescent="0.25">
      <c r="A73" t="s">
        <v>482</v>
      </c>
      <c r="B73" t="s">
        <v>263</v>
      </c>
      <c r="C73">
        <v>47.120013524581758</v>
      </c>
      <c r="F73" t="s">
        <v>375</v>
      </c>
    </row>
    <row r="74" spans="1:6" x14ac:dyDescent="0.25">
      <c r="A74" t="s">
        <v>415</v>
      </c>
      <c r="B74" t="s">
        <v>263</v>
      </c>
      <c r="C74">
        <v>15.78851883984732</v>
      </c>
      <c r="F74" t="s">
        <v>375</v>
      </c>
    </row>
    <row r="75" spans="1:6" x14ac:dyDescent="0.25">
      <c r="A75" t="s">
        <v>416</v>
      </c>
      <c r="B75" t="s">
        <v>263</v>
      </c>
      <c r="C75">
        <v>0.38346429214607308</v>
      </c>
      <c r="F75" t="s">
        <v>375</v>
      </c>
    </row>
    <row r="76" spans="1:6" x14ac:dyDescent="0.25">
      <c r="A76" t="s">
        <v>417</v>
      </c>
      <c r="B76" t="s">
        <v>263</v>
      </c>
      <c r="C76" t="s">
        <v>490</v>
      </c>
      <c r="F76" t="s">
        <v>375</v>
      </c>
    </row>
    <row r="77" spans="1:6" x14ac:dyDescent="0.25">
      <c r="A77" t="s">
        <v>418</v>
      </c>
      <c r="B77" t="s">
        <v>263</v>
      </c>
      <c r="C77">
        <v>210.59818457285559</v>
      </c>
      <c r="F77" t="s">
        <v>375</v>
      </c>
    </row>
    <row r="78" spans="1:6" x14ac:dyDescent="0.25">
      <c r="A78" t="s">
        <v>419</v>
      </c>
      <c r="B78" t="s">
        <v>263</v>
      </c>
      <c r="C78">
        <v>0.249319539769885</v>
      </c>
      <c r="F78" t="s">
        <v>375</v>
      </c>
    </row>
    <row r="79" spans="1:6" x14ac:dyDescent="0.25">
      <c r="A79" t="s">
        <v>420</v>
      </c>
      <c r="B79" t="s">
        <v>263</v>
      </c>
      <c r="C79" t="s">
        <v>452</v>
      </c>
      <c r="F79" t="s">
        <v>375</v>
      </c>
    </row>
    <row r="80" spans="1:6" x14ac:dyDescent="0.25">
      <c r="A80" t="s">
        <v>421</v>
      </c>
      <c r="B80" t="s">
        <v>263</v>
      </c>
      <c r="C80">
        <v>10.35552938735983</v>
      </c>
      <c r="F80" t="s">
        <v>375</v>
      </c>
    </row>
    <row r="81" spans="1:6" x14ac:dyDescent="0.25">
      <c r="A81" t="s">
        <v>422</v>
      </c>
      <c r="B81" t="s">
        <v>263</v>
      </c>
      <c r="C81">
        <v>323.73645427492852</v>
      </c>
      <c r="F81" t="s">
        <v>375</v>
      </c>
    </row>
    <row r="82" spans="1:6" x14ac:dyDescent="0.25">
      <c r="A82" t="s">
        <v>423</v>
      </c>
      <c r="B82" t="s">
        <v>263</v>
      </c>
      <c r="C82">
        <v>20.793297705941828</v>
      </c>
      <c r="F82" t="s">
        <v>375</v>
      </c>
    </row>
    <row r="83" spans="1:6" x14ac:dyDescent="0.25">
      <c r="A83" t="s">
        <v>424</v>
      </c>
      <c r="B83" t="s">
        <v>263</v>
      </c>
      <c r="C83">
        <v>0.30965445458432234</v>
      </c>
      <c r="F83" t="s">
        <v>375</v>
      </c>
    </row>
    <row r="84" spans="1:6" x14ac:dyDescent="0.25">
      <c r="A84" t="s">
        <v>425</v>
      </c>
      <c r="B84" t="s">
        <v>263</v>
      </c>
      <c r="C84">
        <v>3.3914500000000003</v>
      </c>
      <c r="F84" t="s">
        <v>375</v>
      </c>
    </row>
    <row r="85" spans="1:6" x14ac:dyDescent="0.25">
      <c r="A85" t="s">
        <v>426</v>
      </c>
      <c r="B85" t="s">
        <v>263</v>
      </c>
      <c r="C85">
        <v>33.270124500000001</v>
      </c>
      <c r="F85" t="s">
        <v>375</v>
      </c>
    </row>
    <row r="86" spans="1:6" x14ac:dyDescent="0.25">
      <c r="A86" t="s">
        <v>427</v>
      </c>
      <c r="B86" t="s">
        <v>263</v>
      </c>
      <c r="C86">
        <v>16.616876525517039</v>
      </c>
      <c r="F86" t="s">
        <v>375</v>
      </c>
    </row>
    <row r="87" spans="1:6" x14ac:dyDescent="0.25">
      <c r="A87" t="s">
        <v>428</v>
      </c>
      <c r="B87" t="s">
        <v>263</v>
      </c>
      <c r="C87">
        <v>7.8800000000000009E-2</v>
      </c>
      <c r="F87" t="s">
        <v>375</v>
      </c>
    </row>
    <row r="88" spans="1:6" x14ac:dyDescent="0.25">
      <c r="A88" t="s">
        <v>429</v>
      </c>
      <c r="B88" t="s">
        <v>263</v>
      </c>
      <c r="C88">
        <v>63.181510187686712</v>
      </c>
      <c r="F88" t="s">
        <v>375</v>
      </c>
    </row>
    <row r="89" spans="1:6" x14ac:dyDescent="0.25">
      <c r="A89" t="s">
        <v>492</v>
      </c>
      <c r="B89" t="s">
        <v>263</v>
      </c>
      <c r="C89">
        <v>182.17938531024632</v>
      </c>
      <c r="F89" t="s">
        <v>375</v>
      </c>
    </row>
    <row r="90" spans="1:6" x14ac:dyDescent="0.25">
      <c r="A90" t="s">
        <v>493</v>
      </c>
      <c r="B90" t="s">
        <v>263</v>
      </c>
      <c r="C90">
        <v>3.5283725544652502</v>
      </c>
      <c r="F90" t="s">
        <v>375</v>
      </c>
    </row>
    <row r="91" spans="1:6" x14ac:dyDescent="0.25">
      <c r="A91" t="s">
        <v>494</v>
      </c>
      <c r="B91" t="s">
        <v>263</v>
      </c>
      <c r="C91">
        <v>6.2637363570180256</v>
      </c>
      <c r="F91" t="s">
        <v>375</v>
      </c>
    </row>
    <row r="92" spans="1:6" x14ac:dyDescent="0.25">
      <c r="A92" t="s">
        <v>495</v>
      </c>
      <c r="B92" t="s">
        <v>263</v>
      </c>
      <c r="C92">
        <v>182.5021413887242</v>
      </c>
      <c r="F92" t="s">
        <v>375</v>
      </c>
    </row>
    <row r="93" spans="1:6" x14ac:dyDescent="0.25">
      <c r="A93" t="s">
        <v>496</v>
      </c>
      <c r="B93" t="s">
        <v>263</v>
      </c>
      <c r="C93">
        <v>9.7921089114832771</v>
      </c>
      <c r="F93" t="s">
        <v>375</v>
      </c>
    </row>
    <row r="94" spans="1:6" x14ac:dyDescent="0.25">
      <c r="A94" t="s">
        <v>483</v>
      </c>
      <c r="B94" t="s">
        <v>263</v>
      </c>
      <c r="C94">
        <v>0.32053245055726265</v>
      </c>
      <c r="F94" t="s">
        <v>375</v>
      </c>
    </row>
    <row r="95" spans="1:6" x14ac:dyDescent="0.25">
      <c r="A95" t="s">
        <v>484</v>
      </c>
      <c r="B95" t="s">
        <v>263</v>
      </c>
      <c r="C95">
        <v>17.994886768658841</v>
      </c>
      <c r="F95" t="s">
        <v>375</v>
      </c>
    </row>
    <row r="96" spans="1:6" x14ac:dyDescent="0.25">
      <c r="A96" t="s">
        <v>497</v>
      </c>
      <c r="B96" t="s">
        <v>263</v>
      </c>
      <c r="C96">
        <v>248.54551623850972</v>
      </c>
      <c r="F96" t="s">
        <v>375</v>
      </c>
    </row>
    <row r="97" spans="1:6" x14ac:dyDescent="0.25">
      <c r="A97" t="s">
        <v>498</v>
      </c>
      <c r="B97" t="s">
        <v>263</v>
      </c>
      <c r="C97">
        <v>2.3058437450753382</v>
      </c>
      <c r="F97" t="s">
        <v>375</v>
      </c>
    </row>
    <row r="98" spans="1:6" x14ac:dyDescent="0.25">
      <c r="A98" t="s">
        <v>499</v>
      </c>
      <c r="B98" t="s">
        <v>263</v>
      </c>
      <c r="C98">
        <v>25.138593267176439</v>
      </c>
      <c r="F98" t="s">
        <v>375</v>
      </c>
    </row>
    <row r="99" spans="1:6" x14ac:dyDescent="0.25">
      <c r="A99" t="s">
        <v>500</v>
      </c>
      <c r="B99" t="s">
        <v>263</v>
      </c>
      <c r="C99">
        <v>252.33057733185029</v>
      </c>
      <c r="F99" t="s">
        <v>375</v>
      </c>
    </row>
    <row r="100" spans="1:6" x14ac:dyDescent="0.25">
      <c r="A100" t="s">
        <v>501</v>
      </c>
      <c r="B100" t="s">
        <v>263</v>
      </c>
      <c r="C100">
        <v>27.444437012251775</v>
      </c>
      <c r="F100" t="s">
        <v>375</v>
      </c>
    </row>
    <row r="101" spans="1:6" x14ac:dyDescent="0.25">
      <c r="A101" t="s">
        <v>485</v>
      </c>
      <c r="B101" t="s">
        <v>263</v>
      </c>
      <c r="C101">
        <v>-4.4903703116998761E-2</v>
      </c>
      <c r="F101" t="s">
        <v>375</v>
      </c>
    </row>
    <row r="102" spans="1:6" x14ac:dyDescent="0.25">
      <c r="A102" t="s">
        <v>486</v>
      </c>
      <c r="B102" t="s">
        <v>263</v>
      </c>
      <c r="C102">
        <v>5.7773297705821287</v>
      </c>
      <c r="F102" t="s">
        <v>375</v>
      </c>
    </row>
    <row r="103" spans="1:6" x14ac:dyDescent="0.25">
      <c r="A103" t="s">
        <v>502</v>
      </c>
      <c r="B103" t="s">
        <v>263</v>
      </c>
      <c r="C103">
        <v>0.46957187967523628</v>
      </c>
      <c r="F103" t="s">
        <v>375</v>
      </c>
    </row>
    <row r="104" spans="1:6" x14ac:dyDescent="0.25">
      <c r="A104" t="s">
        <v>503</v>
      </c>
      <c r="B104" t="s">
        <v>263</v>
      </c>
      <c r="C104">
        <v>0.33682338763133246</v>
      </c>
      <c r="F104" t="s">
        <v>375</v>
      </c>
    </row>
    <row r="105" spans="1:6" x14ac:dyDescent="0.25">
      <c r="A105" t="s">
        <v>504</v>
      </c>
      <c r="B105" t="s">
        <v>263</v>
      </c>
      <c r="C105">
        <v>0.12231685408332021</v>
      </c>
      <c r="F105" t="s">
        <v>375</v>
      </c>
    </row>
    <row r="106" spans="1:6" x14ac:dyDescent="0.25">
      <c r="A106" t="s">
        <v>505</v>
      </c>
      <c r="B106" t="s">
        <v>263</v>
      </c>
      <c r="C106">
        <v>0.45914024171465262</v>
      </c>
      <c r="F106" t="s">
        <v>375</v>
      </c>
    </row>
    <row r="107" spans="1:6" x14ac:dyDescent="0.25">
      <c r="A107" t="s">
        <v>487</v>
      </c>
      <c r="B107" t="s">
        <v>263</v>
      </c>
      <c r="C107">
        <v>62.887982433591418</v>
      </c>
      <c r="F107" t="s">
        <v>375</v>
      </c>
    </row>
    <row r="108" spans="1:6" x14ac:dyDescent="0.25">
      <c r="A108" t="s">
        <v>488</v>
      </c>
      <c r="B108" t="s">
        <v>263</v>
      </c>
      <c r="C108">
        <v>19.690845926556964</v>
      </c>
      <c r="F108" t="s">
        <v>375</v>
      </c>
    </row>
    <row r="109" spans="1:6" x14ac:dyDescent="0.25">
      <c r="A109" t="s">
        <v>506</v>
      </c>
      <c r="B109" t="s">
        <v>263</v>
      </c>
      <c r="C109">
        <v>216.54759148975538</v>
      </c>
      <c r="F109" t="s">
        <v>375</v>
      </c>
    </row>
    <row r="110" spans="1:6" x14ac:dyDescent="0.25">
      <c r="A110" t="s">
        <v>507</v>
      </c>
      <c r="B110" t="s">
        <v>263</v>
      </c>
      <c r="C110">
        <v>2.0217106942854626</v>
      </c>
      <c r="F110" t="s">
        <v>375</v>
      </c>
    </row>
    <row r="111" spans="1:6" x14ac:dyDescent="0.25">
      <c r="A111" t="s">
        <v>508</v>
      </c>
      <c r="B111" t="s">
        <v>263</v>
      </c>
      <c r="C111">
        <v>2.5446250468831417</v>
      </c>
      <c r="F111" t="s">
        <v>375</v>
      </c>
    </row>
    <row r="112" spans="1:6" x14ac:dyDescent="0.25">
      <c r="A112" t="s">
        <v>514</v>
      </c>
      <c r="B112" t="s">
        <v>263</v>
      </c>
      <c r="C112">
        <v>0.10262510605021724</v>
      </c>
      <c r="F112" t="s">
        <v>375</v>
      </c>
    </row>
    <row r="113" spans="1:6" x14ac:dyDescent="0.25">
      <c r="A113" t="s">
        <v>489</v>
      </c>
      <c r="B113" t="s">
        <v>263</v>
      </c>
      <c r="C113">
        <v>72.095248444491872</v>
      </c>
      <c r="F113" t="s">
        <v>375</v>
      </c>
    </row>
    <row r="114" spans="1:6" x14ac:dyDescent="0.25">
      <c r="A114" t="s">
        <v>515</v>
      </c>
      <c r="B114" t="s">
        <v>263</v>
      </c>
      <c r="C114">
        <v>11.937281072596573</v>
      </c>
      <c r="F114" t="s">
        <v>375</v>
      </c>
    </row>
    <row r="115" spans="1:6" x14ac:dyDescent="0.25">
      <c r="A115" t="s">
        <v>516</v>
      </c>
      <c r="B115" t="s">
        <v>263</v>
      </c>
      <c r="C115">
        <v>55.28319267388283</v>
      </c>
      <c r="F115" t="s">
        <v>375</v>
      </c>
    </row>
    <row r="116" spans="1:6" x14ac:dyDescent="0.25">
      <c r="A116" t="s">
        <v>517</v>
      </c>
      <c r="B116" t="s">
        <v>263</v>
      </c>
      <c r="C116">
        <v>90.211145548199028</v>
      </c>
      <c r="F116" t="s">
        <v>375</v>
      </c>
    </row>
    <row r="117" spans="1:6" x14ac:dyDescent="0.25">
      <c r="A117" t="s">
        <v>518</v>
      </c>
      <c r="B117" t="s">
        <v>263</v>
      </c>
      <c r="C117">
        <v>5.5382400984385836</v>
      </c>
      <c r="F117" t="s">
        <v>375</v>
      </c>
    </row>
    <row r="118" spans="1:6" x14ac:dyDescent="0.25">
      <c r="A118" t="s">
        <v>430</v>
      </c>
      <c r="B118" t="s">
        <v>450</v>
      </c>
      <c r="C118">
        <v>0.3</v>
      </c>
      <c r="F118" t="s">
        <v>375</v>
      </c>
    </row>
    <row r="119" spans="1:6" x14ac:dyDescent="0.25">
      <c r="A119" t="s">
        <v>431</v>
      </c>
      <c r="B119" t="s">
        <v>450</v>
      </c>
      <c r="C119">
        <v>27.176996615837602</v>
      </c>
      <c r="F119" t="s">
        <v>375</v>
      </c>
    </row>
    <row r="120" spans="1:6" x14ac:dyDescent="0.25">
      <c r="A120" t="s">
        <v>432</v>
      </c>
      <c r="B120" t="s">
        <v>450</v>
      </c>
      <c r="C120">
        <v>2.8230033841623978</v>
      </c>
      <c r="F120" t="s">
        <v>375</v>
      </c>
    </row>
    <row r="121" spans="1:6" x14ac:dyDescent="0.25">
      <c r="A121" t="s">
        <v>433</v>
      </c>
      <c r="B121" t="s">
        <v>450</v>
      </c>
      <c r="C121">
        <v>0.25</v>
      </c>
      <c r="F121" t="s">
        <v>375</v>
      </c>
    </row>
    <row r="122" spans="1:6" x14ac:dyDescent="0.25">
      <c r="A122" t="s">
        <v>434</v>
      </c>
      <c r="B122" t="s">
        <v>450</v>
      </c>
      <c r="C122">
        <v>0.7</v>
      </c>
      <c r="F122" t="s">
        <v>375</v>
      </c>
    </row>
    <row r="123" spans="1:6" x14ac:dyDescent="0.25">
      <c r="A123" t="s">
        <v>435</v>
      </c>
      <c r="B123" t="s">
        <v>450</v>
      </c>
      <c r="C123">
        <v>1</v>
      </c>
      <c r="F123" t="s">
        <v>375</v>
      </c>
    </row>
    <row r="124" spans="1:6" x14ac:dyDescent="0.25">
      <c r="A124" t="s">
        <v>436</v>
      </c>
      <c r="B124" t="s">
        <v>450</v>
      </c>
      <c r="C124">
        <v>0.12043337304073547</v>
      </c>
      <c r="F124" t="s">
        <v>375</v>
      </c>
    </row>
    <row r="125" spans="1:6" x14ac:dyDescent="0.25">
      <c r="A125" t="s">
        <v>437</v>
      </c>
      <c r="B125" t="s">
        <v>450</v>
      </c>
      <c r="C125">
        <v>119.60561578781872</v>
      </c>
      <c r="F125" t="s">
        <v>375</v>
      </c>
    </row>
    <row r="126" spans="1:6" x14ac:dyDescent="0.25">
      <c r="A126" t="s">
        <v>438</v>
      </c>
      <c r="B126" t="s">
        <v>450</v>
      </c>
      <c r="C126">
        <v>7.5217966021746033E-2</v>
      </c>
      <c r="F126" t="s">
        <v>375</v>
      </c>
    </row>
    <row r="127" spans="1:6" x14ac:dyDescent="0.25">
      <c r="A127" t="s">
        <v>439</v>
      </c>
      <c r="B127" t="s">
        <v>450</v>
      </c>
      <c r="C127">
        <v>1.07</v>
      </c>
      <c r="F127" t="s">
        <v>375</v>
      </c>
    </row>
    <row r="128" spans="1:6" x14ac:dyDescent="0.25">
      <c r="A128" t="s">
        <v>440</v>
      </c>
      <c r="B128" t="s">
        <v>450</v>
      </c>
      <c r="C128">
        <v>0.3</v>
      </c>
      <c r="F128" t="s">
        <v>375</v>
      </c>
    </row>
    <row r="129" spans="1:6" x14ac:dyDescent="0.25">
      <c r="A129" t="s">
        <v>441</v>
      </c>
      <c r="B129" t="s">
        <v>450</v>
      </c>
      <c r="C129">
        <v>29.162154556467332</v>
      </c>
      <c r="F129" t="s">
        <v>375</v>
      </c>
    </row>
    <row r="130" spans="1:6" x14ac:dyDescent="0.25">
      <c r="A130" t="s">
        <v>442</v>
      </c>
      <c r="B130" t="s">
        <v>450</v>
      </c>
      <c r="C130">
        <v>0.83784544353266455</v>
      </c>
      <c r="F130" t="s">
        <v>375</v>
      </c>
    </row>
    <row r="131" spans="1:6" x14ac:dyDescent="0.25">
      <c r="A131" t="s">
        <v>443</v>
      </c>
      <c r="B131" t="s">
        <v>450</v>
      </c>
      <c r="C131">
        <v>5.2033621722920103</v>
      </c>
      <c r="F131" t="s">
        <v>375</v>
      </c>
    </row>
    <row r="132" spans="1:6" x14ac:dyDescent="0.25">
      <c r="A132" t="s">
        <v>444</v>
      </c>
      <c r="B132" t="s">
        <v>450</v>
      </c>
      <c r="C132">
        <v>0.3614852233974003</v>
      </c>
      <c r="F132" t="s">
        <v>375</v>
      </c>
    </row>
    <row r="133" spans="1:6" x14ac:dyDescent="0.25">
      <c r="A133" t="s">
        <v>445</v>
      </c>
      <c r="B133" t="s">
        <v>450</v>
      </c>
      <c r="C133">
        <v>0.15</v>
      </c>
      <c r="F133" t="s">
        <v>375</v>
      </c>
    </row>
    <row r="134" spans="1:6" x14ac:dyDescent="0.25">
      <c r="A134" t="s">
        <v>446</v>
      </c>
      <c r="B134" t="s">
        <v>450</v>
      </c>
      <c r="C134">
        <v>-0.78050432584380147</v>
      </c>
      <c r="F134" t="s">
        <v>375</v>
      </c>
    </row>
    <row r="135" spans="1:6" x14ac:dyDescent="0.25">
      <c r="A135" t="s">
        <v>447</v>
      </c>
      <c r="B135" t="s">
        <v>450</v>
      </c>
      <c r="C135">
        <v>0.12602616170797043</v>
      </c>
      <c r="F135" t="s">
        <v>375</v>
      </c>
    </row>
    <row r="136" spans="1:6" x14ac:dyDescent="0.25">
      <c r="A136" t="s">
        <v>448</v>
      </c>
      <c r="B136" t="s">
        <v>450</v>
      </c>
      <c r="C136">
        <v>5</v>
      </c>
      <c r="F136" t="s">
        <v>375</v>
      </c>
    </row>
    <row r="137" spans="1:6" x14ac:dyDescent="0.25">
      <c r="A137" t="s">
        <v>449</v>
      </c>
      <c r="B137" t="s">
        <v>450</v>
      </c>
      <c r="C137">
        <v>-0.18284158980285484</v>
      </c>
      <c r="F137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C24" sqref="C24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275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276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277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302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278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279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280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281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282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283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284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285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286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287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288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289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291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290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25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2026-10-08T13:21:40Z</dcterms:modified>
</cp:coreProperties>
</file>