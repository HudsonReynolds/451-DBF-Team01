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29" documentId="13_ncr:1_{60007970-5A4F-400B-B565-6CA8D1228FE7}" xr6:coauthVersionLast="47" xr6:coauthVersionMax="47" xr10:uidLastSave="{927E2BE3-773B-4076-9F96-1EE500C81D59}"/>
  <bookViews>
    <workbookView xWindow="-108" yWindow="-108" windowWidth="23256" windowHeight="13896" activeTab="1" xr2:uid="{00000000-000D-0000-FFFF-FFFF00000000}"/>
  </bookViews>
  <sheets>
    <sheet name="Sheet1" sheetId="1" r:id="rId1"/>
    <sheet name="Hinge Mo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<sst xmlns="http://schemas.openxmlformats.org/spreadsheetml/2006/main" count="463" uniqueCount="283">
  <si>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</si>
  <si>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</si>
  <si>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</si>
  <si>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</si>
  <si>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</si>
  <si>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</si>
  <si>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</si>
  <si>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</si>
  <si>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</si>
  <si>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</si>
  <si>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</si>
  <si>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</si>
  <si>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</si>
  <si>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</si>
  <si>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</si>
  <si>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</si>
  <si>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</si>
  <si>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</si>
  <si>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</si>
  <si>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</si>
  <si>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</si>
  <si>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</si>
  <si>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</si>
  <si>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</si>
  <si>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</si>
  <si>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</si>
  <si>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</si>
  <si>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</si>
  <si>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</si>
  <si>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</si>
  <si>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</si>
  <si>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</si>
  <si>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</si>
  <si>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</si>
  <si>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</si>
  <si>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</si>
  <si>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</si>
  <si>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</si>
  <si>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</si>
  <si>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</si>
  <si>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</si>
  <si>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</si>
  <si>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</si>
  <si>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</si>
  <si>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</si>
  <si>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</si>
  <si>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</si>
  <si>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</si>
  <si>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</si>
  <si>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</si>
  <si>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</si>
  <si>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</si>
  <si>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</si>
  <si>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</si>
  <si>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</si>
  <si>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</si>
  <si>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</si>
  <si>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</si>
  <si>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</si>
  <si>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</si>
  <si>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</si>
  <si>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</si>
  <si>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</si>
  <si>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</si>
  <si>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</si>
  <si>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</si>
  <si>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</si>
  <si>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</si>
  <si>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</si>
  <si>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</si>
  <si>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</si>
  <si>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</si>
  <si>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</si>
  <si>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</si>
  <si>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</si>
  <si>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</si>
  <si>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</si>
  <si>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</si>
  <si>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</si>
  <si>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</si>
  <si>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</si>
  <si>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</si>
  <si>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</si>
  <si>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</si>
  <si>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</si>
  <si>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</si>
  <si>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</si>
  <si>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</si>
  <si>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</si>
  <si>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</si>
  <si>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</si>
  <si>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</si>
  <si>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</si>
  <si>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</si>
  <si>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</si>
  <si>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</si>
  <si>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</si>
  <si>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</si>
  <si>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</si>
  <si>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</si>
  <si>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</si>
  <si>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</si>
  <si>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</si>
  <si>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</si>
  <si>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</si>
  <si>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</si>
  <si>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</si>
  <si>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</si>
  <si>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</si>
  <si>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</si>
  <si>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</si>
  <si>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</si>
  <si>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</si>
  <si>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</si>
  <si>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</si>
  <si>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</si>
  <si>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</si>
  <si>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</si>
  <si>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</si>
  <si>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</si>
  <si>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</si>
  <si>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</si>
  <si>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</si>
  <si>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</si>
  <si>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</si>
  <si>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</si>
  <si>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</si>
  <si>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</si>
  <si>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</si>
  <si>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</si>
  <si>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</si>
  <si>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</si>
  <si>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</si>
  <si>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</si>
  <si>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</si>
  <si>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</si>
  <si>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</si>
  <si>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</si>
  <si>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</si>
  <si>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</si>
  <si>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</si>
  <si>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</si>
  <si>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</si>
  <si>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</si>
  <si>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</si>
  <si>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</si>
  <si>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</si>
  <si>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</si>
  <si>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</si>
  <si>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</si>
  <si>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</si>
  <si>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</si>
  <si>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</si>
  <si>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</si>
  <si>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</si>
  <si>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</si>
  <si>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</si>
  <si>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</si>
  <si>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</si>
  <si>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</si>
  <si>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</si>
  <si>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</si>
  <si>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</si>
  <si>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</si>
  <si>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</si>
  <si>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</si>
  <si>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</si>
  <si>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</si>
  <si>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</si>
  <si>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</si>
  <si>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</si>
  <si>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</si>
  <si>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</si>
  <si>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</si>
  <si>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</si>
  <si>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</si>
  <si>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</si>
  <si>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</si>
  <si>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</si>
  <si>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</si>
  <si>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</si>
  <si>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</si>
  <si>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</si>
  <si>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</si>
  <si>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</si>
  <si>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</si>
  <si>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</si>
  <si>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</si>
  <si>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</si>
  <si>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</si>
  <si>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</si>
  <si>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</si>
  <si>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</si>
  <si>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</si>
  <si>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</si>
  <si>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</si>
  <si>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</si>
  <si>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</si>
  <si>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</si>
  <si>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</si>
  <si>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</si>
  <si>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</si>
  <si>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</si>
  <si>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</si>
  <si>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</si>
  <si>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</si>
  <si>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</si>
  <si>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</si>
  <si>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</si>
  <si>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</si>
  <si>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</si>
  <si>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</si>
  <si>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</si>
  <si>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</si>
  <si>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</si>
  <si>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</si>
  <si>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</si>
  <si>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</si>
  <si>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</si>
  <si>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</si>
  <si>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</si>
  <si>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</si>
  <si>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</si>
  <si>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</si>
  <si>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</si>
  <si>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</si>
  <si>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</si>
  <si>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</si>
  <si>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</si>
  <si>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</si>
  <si>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</si>
  <si>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</si>
  <si>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</si>
  <si>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</si>
  <si>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</si>
  <si>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</si>
  <si>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</si>
  <si>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</si>
  <si>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</si>
  <si>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</si>
  <si>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</si>
  <si>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</si>
  <si>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</si>
  <si>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</si>
  <si>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</si>
  <si>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</si>
  <si>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</si>
  <si>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</si>
  <si>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</si>
  <si>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</si>
  <si>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</si>
  <si>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</si>
  <si>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</si>
  <si>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</si>
  <si>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</si>
  <si>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</si>
  <si>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</si>
  <si>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</si>
  <si>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</si>
  <si>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</si>
  <si>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</si>
  <si>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</si>
  <si>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</si>
  <si>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</si>
  <si>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Negative (inverted-flight) max lift coefficient -- ASSUMPTION, not measured; refine with an XFLR5 negative-alpha sweep</t>
  </si>
  <si>
    <t>x_spar</t>
  </si>
  <si>
    <t>structures</t>
  </si>
  <si>
    <t>Wing spar/shear-center location, fraction of chord aft of LE -- ASSUMPTION, set once the spar is chosen; sign of (x_spar-x_ac) decides whether Cm_ac adds to or opposes the lift-offset torque</t>
  </si>
  <si>
    <t>eta_h</t>
  </si>
  <si>
    <t>Horizontal tail dynamic-pressure ratio q_tail/q_freestream -- ASSUMPTION (high-wing/clear tail), refine from wake/downwash data</t>
  </si>
  <si>
    <t>eta_v</t>
  </si>
  <si>
    <t>Vertical tail (fin) dynamic-pressure ratio -- ASSUMPTION, refine from wake/downwash data</t>
  </si>
  <si>
    <t>CL_max_tail</t>
  </si>
  <si>
    <t>Max lift coefficient of the tail's symmetric section (NACA 0010) -- ASSUMPTION, refine with an XFLR5 sweep</t>
  </si>
  <si>
    <t>D_fus_tail</t>
  </si>
  <si>
    <t>Fuselage/tailboom depth at the fin root -- ASSUMPTION, measure once the boom is sized</t>
  </si>
  <si>
    <t>x_LE_wing</t>
  </si>
  <si>
    <t>Fuselage station of the wing's MAC leading edge, from the nose -- ASSUMPTION/PLACEHOLDER, set from your actual layout</t>
  </si>
  <si>
    <t>sink_rate</t>
  </si>
  <si>
    <t>Design sink rate for the landing load factor derivation -- ASSUMPTION, state your source</t>
  </si>
  <si>
    <t>gear_stiffness</t>
  </si>
  <si>
    <t>N/m</t>
  </si>
  <si>
    <t>Main landing gear vertical stiffness (both legs) -- PLACEHOLDER, replace once gear is selected/tested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</si>
</sst>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18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opLeftCell="A72" workbookViewId="0">
      <selection activeCell="A97" sqref="A97:F104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44" customWidth="1"/>
    <col min="6" max="6" width="60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-0.8</v>
      </c>
      <c r="D96" t="s">
        <v>8</v>
      </c>
      <c r="E96" t="s">
        <v>264</v>
      </c>
    </row>
    <row r="97" spans="1:5" x14ac:dyDescent="0.3">
      <c r="A97" t="s">
        <v>265</v>
      </c>
      <c r="B97" t="s">
        <v>266</v>
      </c>
      <c r="C97">
        <v>0.3</v>
      </c>
      <c r="D97" t="s">
        <v>8</v>
      </c>
      <c r="E97" t="s">
        <v>267</v>
      </c>
    </row>
    <row r="98" spans="1:5" x14ac:dyDescent="0.3">
      <c r="A98" t="s">
        <v>268</v>
      </c>
      <c r="B98" t="s">
        <v>266</v>
      </c>
      <c r="C98">
        <v>1</v>
      </c>
      <c r="D98" t="s">
        <v>8</v>
      </c>
      <c r="E98" t="s">
        <v>269</v>
      </c>
    </row>
    <row r="99" spans="1:5" x14ac:dyDescent="0.3">
      <c r="A99" t="s">
        <v>270</v>
      </c>
      <c r="B99" t="s">
        <v>266</v>
      </c>
      <c r="C99">
        <v>1</v>
      </c>
      <c r="D99" t="s">
        <v>8</v>
      </c>
      <c r="E99" t="s">
        <v>271</v>
      </c>
    </row>
    <row r="100" spans="1:5" x14ac:dyDescent="0.3">
      <c r="A100" t="s">
        <v>272</v>
      </c>
      <c r="B100" t="s">
        <v>266</v>
      </c>
      <c r="C100">
        <v>1</v>
      </c>
      <c r="D100" t="s">
        <v>8</v>
      </c>
      <c r="E100" t="s">
        <v>273</v>
      </c>
    </row>
    <row r="101" spans="1:5" x14ac:dyDescent="0.3">
      <c r="A101" t="s">
        <v>274</v>
      </c>
      <c r="B101" t="s">
        <v>266</v>
      </c>
      <c r="C101">
        <v>0.03</v>
      </c>
      <c r="D101" t="s">
        <v>59</v>
      </c>
      <c r="E101" t="s">
        <v>275</v>
      </c>
    </row>
    <row r="102" spans="1:5" x14ac:dyDescent="0.3">
      <c r="A102" t="s">
        <v>276</v>
      </c>
      <c r="B102" t="s">
        <v>266</v>
      </c>
      <c r="C102">
        <v>0.3</v>
      </c>
      <c r="D102" t="s">
        <v>59</v>
      </c>
      <c r="E102" t="s">
        <v>277</v>
      </c>
    </row>
    <row r="103" spans="1:5" x14ac:dyDescent="0.3">
      <c r="A103" t="s">
        <v>278</v>
      </c>
      <c r="B103" t="s">
        <v>266</v>
      </c>
      <c r="C103">
        <v>0.5</v>
      </c>
      <c r="D103" t="s">
        <v>137</v>
      </c>
      <c r="E103" t="s">
        <v>279</v>
      </c>
    </row>
    <row r="104" spans="1:5" x14ac:dyDescent="0.3">
      <c r="A104" t="s">
        <v>280</v>
      </c>
      <c r="B104" t="s">
        <v>266</v>
      </c>
      <c r="C104">
        <v>5000</v>
      </c>
      <c r="D104" t="s">
        <v>281</v>
      </c>
      <c r="E104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tabSelected="1"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2026-09-27T23:14:18Z</dcterms:modified>
</cp:coreProperties>
</file>