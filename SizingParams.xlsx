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EB223F66-9517-4EDD-BD92-D3E5CD30D5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64" i="1"/>
  <c r="B50" i="1"/>
  <c r="B39" i="1" a="1"/>
  <c r="B39" i="1" s="1"/>
  <c r="B40" i="1" s="1"/>
  <c r="B42" i="1" s="1"/>
  <c r="B8" i="1" s="1"/>
  <c r="B7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9" i="1" l="1" a="1"/>
  <c r="B9" i="1" s="1"/>
  <c r="B16" i="1" s="1" a="1"/>
  <c r="B16" i="1" s="1"/>
  <c r="B17" i="1" s="1" a="1"/>
  <c r="B17" i="1" s="1"/>
  <c r="B15" i="1" l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<sst xmlns="http://schemas.openxmlformats.org/spreadsheetml/2006/main" count="268" uniqueCount="196">
  <si>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</si>
  <si>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</si>
  <si>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</si>
  <si>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</si>
  <si>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</si>
  <si>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</si>
  <si>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</si>
  <si>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</si>
  <si>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</si>
  <si>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</si>
  <si>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</si>
  <si>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</si>
  <si>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</si>
  <si>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</si>
  <si>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</si>
  <si>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</si>
  <si>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</si>
  <si>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</si>
  <si>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</si>
  <si>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</si>
  <si>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</si>
  <si>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</si>
  <si>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</si>
  <si>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</si>
  <si>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</si>
  <si>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</si>
  <si>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</si>
  <si>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</si>
  <si>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</si>
  <si>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</si>
  <si>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</si>
  <si>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</si>
  <si>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</si>
  <si>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</si>
  <si>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</si>
  <si>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</si>
  <si>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</si>
  <si>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</si>
  <si>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</si>
  <si>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</si>
  <si>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</si>
  <si>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</si>
  <si>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</si>
  <si>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</si>
  <si>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</si>
  <si>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</si>
  <si>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</si>
  <si>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</si>
  <si>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</si>
  <si>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</si>
  <si>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</si>
  <si>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</si>
  <si>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</si>
  <si>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</si>
  <si>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</si>
  <si>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</si>
  <si>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</si>
  <si>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</si>
  <si>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</si>
  <si>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</si>
  <si>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</si>
  <si>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</si>
  <si>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</si>
  <si>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</si>
  <si>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</si>
  <si>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</si>
  <si>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</si>
  <si>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</si>
  <si>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</si>
  <si>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</si>
  <si>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</si>
  <si>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</si>
  <si>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</si>
  <si>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</si>
  <si>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</si>
  <si>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</si>
  <si>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</si>
  <si>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</si>
  <si>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</si>
  <si>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</si>
  <si>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</si>
  <si>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</si>
  <si>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</si>
  <si>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</si>
  <si>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</si>
  <si>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</si>
  <si>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</si>
  <si>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</si>
  <si>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</si>
  <si>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</si>
  <si>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</si>
  <si>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</si>
  <si>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</si>
  <si>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</si>
  <si>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</si>
  <si>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</si>
  <si>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</si>
  <si>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</si>
  <si>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</si>
  <si>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</si>
  <si>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</si>
  <si>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</si>
  <si>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</si>
  <si>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</si>
  <si>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</si>
  <si>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</si>
  <si>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</si>
  <si>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</si>
  <si>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</si>
  <si>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</si>
  <si>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</si>
  <si>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</si>
  <si>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</si>
  <si>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</si>
  <si>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</si>
  <si>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</si>
  <si>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</si>
  <si>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</si>
  <si>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</si>
  <si>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</si>
  <si>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</si>
  <si>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</si>
  <si>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</si>
  <si>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</si>
  <si>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</si>
  <si>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</si>
  <si>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</si>
  <si>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</si>
  <si>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</si>
  <si>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</si>
  <si>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</si>
  <si>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</si>
  <si>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</si>
  <si>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</si>
  <si>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</si>
  <si>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</si>
  <si>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</si>
  <si>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</si>
  <si>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</si>
  <si>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</si>
  <si>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</si>
  <si>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</si>
  <si>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</si>
  <si>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</si>
  <si>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</si>
  <si>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</si>
  <si>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</si>
  <si>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</si>
  <si>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</si>
  <si>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</si>
  <si>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</si>
  <si>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</si>
  <si>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</si>
  <si>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</si>
  <si>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</si>
  <si>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</si>
  <si>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</si>
  <si>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</si>
  <si>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</si>
  <si>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</si>
  <si>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</si>
  <si>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</si>
  <si>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NACA 0012 max thickness</t>
  </si>
  <si>
    <t>xcm_hstab</t>
  </si>
  <si>
    <t>NACA 0012 location of max thickness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</si>
  <si>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</si>
  <si>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</si>
  <si>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</si>
  <si>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</si>
  <si>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</si>
  <si>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</si>
  <si>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</si>
  <si>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</si>
  <si>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</si>
  <si>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</si>
  <si>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</si>
  <si>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</si>
  <si>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</si>
  <si>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</si>
  <si>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</si>
  <si>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</si>
  <si>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CD_0_leak_factor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</si>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</sst>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4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49" fontId="0" fillId="2" borderId="5" xfId="0" applyNumberFormat="1" applyFill="1" applyBorder="1"/>
    <xf numFmtId="0" fontId="0" fillId="2" borderId="1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1" fillId="2" borderId="3" xfId="0" applyNumberFormat="1" applyFont="1" applyFill="1" applyBorder="1"/>
    <xf numFmtId="165" fontId="0" fillId="2" borderId="1" xfId="0" applyNumberFormat="1" applyFill="1" applyBorder="1"/>
    <xf numFmtId="0" fontId="0" fillId="0" borderId="4" xfId="0" applyNumberFormat="1" applyFill="1" applyBorder="1"/>
    <xf numFmtId="164" fontId="0" fillId="0" borderId="4" xfId="0" applyNumberFormat="1" applyFill="1" applyBorder="1"/>
    <xf numFmtId="2" fontId="0" fillId="0" borderId="4" xfId="0" applyNumberFormat="1" applyFill="1" applyBorder="1"/>
    <xf numFmtId="165" fontId="0" fillId="0" borderId="4" xfId="0" applyNumberFormat="1" applyFill="1" applyBorder="1"/>
    <xf numFmtId="166" fontId="0" fillId="0" borderId="4" xfId="0" applyNumberFormat="1" applyFill="1" applyBorder="1"/>
    <xf numFmtId="49" fontId="2" fillId="2" borderId="1" xfId="0" applyNumberFormat="1" applyFont="1" applyFill="1" applyBorder="1"/>
    <xf numFmtId="49" fontId="2" fillId="2" borderId="2" xfId="0" applyNumberFormat="1" applyFont="1" applyFill="1" applyBorder="1"/>
    <xf numFmtId="0" fontId="0" fillId="0" borderId="6" xfId="0" applyNumberFormat="1" applyFill="1" applyBorder="1"/>
    <xf numFmtId="2" fontId="0" fillId="0" borderId="6" xfId="0" applyNumberFormat="1" applyFill="1" applyBorder="1"/>
    <xf numFmtId="167" fontId="0" fillId="0" borderId="7" xfId="0" applyNumberFormat="1" applyFill="1" applyBorder="1"/>
    <xf numFmtId="0" fontId="0" fillId="0" borderId="1" xfId="0" applyNumberFormat="1" applyFill="1" applyBorder="1"/>
    <xf numFmtId="2" fontId="0" fillId="2" borderId="1" xfId="0" applyNumberFormat="1" applyFill="1" applyBorder="1"/>
    <xf numFmtId="0" fontId="1" fillId="2" borderId="1" xfId="0" quotePrefix="1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21</xdr:row>
      <xdr:rowOff>183515</xdr:rowOff>
    </xdr:from>
    <xdr:to>
      <xdr:col>16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10</xdr:col>
      <xdr:colOff>9151</xdr:colOff>
      <xdr:row>37</xdr:row>
      <xdr:rowOff>141220</xdr:rowOff>
    </xdr:from>
    <xdr:to>
      <xdr:col>16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4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297995</xdr:colOff>
      <xdr:row>70</xdr:row>
      <xdr:rowOff>108868</xdr:rowOff>
    </xdr:from>
    <xdr:to>
      <xdr:col>15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254451</xdr:colOff>
      <xdr:row>62</xdr:row>
      <xdr:rowOff>81649</xdr:rowOff>
    </xdr:from>
    <xdr:to>
      <xdr:col>14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5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5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104775</xdr:colOff>
      <xdr:row>92</xdr:row>
      <xdr:rowOff>142880</xdr:rowOff>
    </xdr:from>
    <xdr:to>
      <xdr:col>14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5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5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58615</xdr:colOff>
      <xdr:row>132</xdr:row>
      <xdr:rowOff>130415</xdr:rowOff>
    </xdr:from>
    <xdr:to>
      <xdr:col>16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6</xdr:col>
      <xdr:colOff>462644</xdr:colOff>
      <xdr:row>54</xdr:row>
      <xdr:rowOff>54427</xdr:rowOff>
    </xdr:from>
    <xdr:to>
      <xdr:col>17</xdr:col>
      <xdr:colOff>272143</xdr:colOff>
      <xdr:row>61</xdr:row>
      <xdr:rowOff>87995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694715" y="9252856"/>
          <a:ext cx="6245678" cy="12718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2"/>
  <sheetViews>
    <sheetView showGridLines="0" tabSelected="1" topLeftCell="A46" zoomScaleNormal="100" workbookViewId="0">
      <selection activeCell="E52" sqref="E52"/>
    </sheetView>
  </sheetViews>
  <sheetFormatPr defaultColWidth="8.7109375" defaultRowHeight="14.65" customHeight="1" x14ac:dyDescent="0.25"/>
  <cols>
    <col min="1" max="1" width="18.42578125" style="1" bestFit="1" customWidth="1"/>
    <col min="2" max="2" width="9.85546875" style="1" bestFit="1" customWidth="1"/>
    <col min="3" max="3" width="8.7109375" style="1" customWidth="1"/>
    <col min="4" max="4" width="34.140625" style="1" bestFit="1" customWidth="1"/>
    <col min="5" max="5" width="9.7109375" style="1" bestFit="1" customWidth="1"/>
    <col min="6" max="6" width="25.7109375" style="1" customWidth="1"/>
    <col min="7" max="19" width="8.7109375" style="1" customWidth="1"/>
    <col min="20" max="16384" width="8.7109375" style="1"/>
  </cols>
  <sheetData>
    <row r="1" spans="1:18" ht="14.65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188</v>
      </c>
      <c r="F1" s="16" t="s">
        <v>147</v>
      </c>
      <c r="G1" s="16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4.65" customHeight="1" x14ac:dyDescent="0.25">
      <c r="A2" s="4" t="s">
        <v>5</v>
      </c>
      <c r="B2" s="11">
        <v>1.2250000000000001</v>
      </c>
      <c r="C2" s="5" t="s">
        <v>6</v>
      </c>
      <c r="D2" s="2" t="s">
        <v>7</v>
      </c>
      <c r="E2" s="2"/>
      <c r="F2" s="2" t="s">
        <v>8</v>
      </c>
      <c r="G2" s="2" t="s">
        <v>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14.65" customHeight="1" x14ac:dyDescent="0.25">
      <c r="A3" s="4" t="s">
        <v>10</v>
      </c>
      <c r="B3" s="12">
        <v>1.7960000000000001E-5</v>
      </c>
      <c r="C3" s="5" t="s">
        <v>11</v>
      </c>
      <c r="D3" s="2" t="s">
        <v>12</v>
      </c>
      <c r="E3" s="2"/>
      <c r="F3" s="2" t="s">
        <v>13</v>
      </c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4.65" customHeight="1" x14ac:dyDescent="0.25">
      <c r="A4" s="4" t="s">
        <v>14</v>
      </c>
      <c r="B4" s="11">
        <v>9.81</v>
      </c>
      <c r="C4" s="5" t="s">
        <v>15</v>
      </c>
      <c r="D4" s="2" t="s">
        <v>16</v>
      </c>
      <c r="E4" s="2"/>
      <c r="F4" s="2" t="s">
        <v>13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t="14.65" customHeight="1" x14ac:dyDescent="0.25">
      <c r="A5" s="4" t="s">
        <v>17</v>
      </c>
      <c r="B5" s="11">
        <v>0.05</v>
      </c>
      <c r="C5" s="5" t="s">
        <v>18</v>
      </c>
      <c r="D5" s="2" t="s">
        <v>19</v>
      </c>
      <c r="E5" s="2"/>
      <c r="F5" s="2" t="s">
        <v>20</v>
      </c>
      <c r="G5" s="2" t="s">
        <v>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t="14.65" customHeight="1" x14ac:dyDescent="0.25">
      <c r="A6" s="4" t="s">
        <v>22</v>
      </c>
      <c r="B6" s="11">
        <v>0.08</v>
      </c>
      <c r="C6" s="5" t="s">
        <v>18</v>
      </c>
      <c r="D6" s="2" t="s">
        <v>23</v>
      </c>
      <c r="E6" s="2"/>
      <c r="F6" s="2" t="s">
        <v>20</v>
      </c>
      <c r="G6" s="2" t="s">
        <v>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4.65" customHeight="1" x14ac:dyDescent="0.25">
      <c r="A7" s="9" t="s">
        <v>182</v>
      </c>
      <c r="B7" s="13">
        <f>1.78*(1-0.045*B8^0.68)-0.64</f>
        <v>0.91000572412664693</v>
      </c>
      <c r="C7" s="5" t="s">
        <v>18</v>
      </c>
      <c r="D7" s="2" t="s">
        <v>25</v>
      </c>
      <c r="E7" s="2"/>
      <c r="F7" s="7" t="s">
        <v>183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 ht="14.65" customHeight="1" x14ac:dyDescent="0.25">
      <c r="A8" s="4" t="s">
        <v>26</v>
      </c>
      <c r="B8" s="13">
        <f>B54/B42</f>
        <v>4.7168676768718001</v>
      </c>
      <c r="C8" s="5" t="s">
        <v>18</v>
      </c>
      <c r="D8" s="2" t="s">
        <v>27</v>
      </c>
      <c r="E8" s="2"/>
      <c r="F8" s="2" t="s">
        <v>28</v>
      </c>
      <c r="G8" s="2" t="s">
        <v>29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14.65" customHeight="1" x14ac:dyDescent="0.25">
      <c r="A9" s="9" t="s">
        <v>187</v>
      </c>
      <c r="B9" s="14" cm="1">
        <f t="array" ref="B9">1/(PI()*B7*B8)</f>
        <v>7.4157026955488606E-2</v>
      </c>
      <c r="C9" s="5" t="s">
        <v>18</v>
      </c>
      <c r="D9" s="2" t="s">
        <v>30</v>
      </c>
      <c r="E9" s="2"/>
      <c r="F9" s="2" t="s">
        <v>31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4.65" customHeight="1" x14ac:dyDescent="0.25">
      <c r="A10" s="4" t="s">
        <v>32</v>
      </c>
      <c r="B10" s="11">
        <v>0.3</v>
      </c>
      <c r="C10" s="5" t="s">
        <v>18</v>
      </c>
      <c r="D10" s="2" t="s">
        <v>33</v>
      </c>
      <c r="E10" s="2"/>
      <c r="F10" s="2" t="s">
        <v>34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t="14.65" customHeight="1" x14ac:dyDescent="0.25">
      <c r="A11" s="4" t="s">
        <v>35</v>
      </c>
      <c r="B11" s="11">
        <v>1.43</v>
      </c>
      <c r="C11" s="5" t="s">
        <v>18</v>
      </c>
      <c r="D11" s="2" t="s">
        <v>36</v>
      </c>
      <c r="E11" s="2"/>
      <c r="F11" s="2" t="s">
        <v>37</v>
      </c>
      <c r="G11" s="2" t="s">
        <v>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t="14.65" customHeight="1" x14ac:dyDescent="0.25">
      <c r="A12" s="4" t="s">
        <v>39</v>
      </c>
      <c r="B12" s="11" cm="1">
        <f t="array" ref="B12">B10</f>
        <v>0.3</v>
      </c>
      <c r="C12" s="5" t="s">
        <v>18</v>
      </c>
      <c r="D12" s="2" t="s">
        <v>40</v>
      </c>
      <c r="E12" s="2"/>
      <c r="F12" s="2" t="s">
        <v>41</v>
      </c>
      <c r="G12" s="2" t="s">
        <v>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4.65" customHeight="1" x14ac:dyDescent="0.25">
      <c r="A13" s="4" t="s">
        <v>43</v>
      </c>
      <c r="B13" s="13" cm="1">
        <f t="array" ref="B13">B11/B20^2</f>
        <v>1.1818181818181817</v>
      </c>
      <c r="C13" s="5" t="s">
        <v>18</v>
      </c>
      <c r="D13" s="2" t="s">
        <v>44</v>
      </c>
      <c r="E13" s="2"/>
      <c r="F13" s="2" t="s">
        <v>45</v>
      </c>
      <c r="G13" s="2" t="s">
        <v>46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t="14.65" customHeight="1" x14ac:dyDescent="0.25">
      <c r="A14" s="4" t="s">
        <v>47</v>
      </c>
      <c r="B14" s="14">
        <v>5.1999999999999998E-2</v>
      </c>
      <c r="C14" s="5" t="s">
        <v>18</v>
      </c>
      <c r="D14" s="2" t="s">
        <v>48</v>
      </c>
      <c r="E14" s="7" t="s">
        <v>189</v>
      </c>
      <c r="F14" s="2" t="s">
        <v>49</v>
      </c>
      <c r="G14" s="2" t="s">
        <v>50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t="14.65" customHeight="1" x14ac:dyDescent="0.25">
      <c r="A15" s="9" t="s">
        <v>142</v>
      </c>
      <c r="B15" s="14" cm="1">
        <f t="array" ref="B15">B14+B9*B10^2</f>
        <v>5.8674132425993973E-2</v>
      </c>
      <c r="C15" s="5" t="s">
        <v>18</v>
      </c>
      <c r="D15" s="2" t="s">
        <v>51</v>
      </c>
      <c r="E15" s="2"/>
      <c r="F15" s="2" t="s">
        <v>52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4.65" customHeight="1" x14ac:dyDescent="0.25">
      <c r="A16" s="4" t="s">
        <v>53</v>
      </c>
      <c r="B16" s="14" cm="1">
        <f t="array" ref="B16">B14+B9*B12^2</f>
        <v>5.8674132425993973E-2</v>
      </c>
      <c r="C16" s="5" t="s">
        <v>18</v>
      </c>
      <c r="D16" s="2" t="s">
        <v>54</v>
      </c>
      <c r="E16" s="2"/>
      <c r="F16" s="2" t="s">
        <v>55</v>
      </c>
      <c r="G16" s="2" t="s">
        <v>42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t="14.65" customHeight="1" x14ac:dyDescent="0.25">
      <c r="A17" s="4" t="s">
        <v>56</v>
      </c>
      <c r="B17" s="14" cm="1">
        <f t="array" ref="B17">B16-B5*B12</f>
        <v>4.3674132425993974E-2</v>
      </c>
      <c r="C17" s="5" t="s">
        <v>18</v>
      </c>
      <c r="D17" s="2" t="s">
        <v>57</v>
      </c>
      <c r="E17" s="2"/>
      <c r="F17" s="2" t="s">
        <v>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t="14.65" customHeight="1" x14ac:dyDescent="0.25">
      <c r="A18" s="4" t="s">
        <v>59</v>
      </c>
      <c r="B18" s="13" cm="1">
        <f t="array" ref="B18">B10/B15</f>
        <v>5.1129856990794327</v>
      </c>
      <c r="C18" s="5" t="s">
        <v>18</v>
      </c>
      <c r="D18" s="2" t="s">
        <v>60</v>
      </c>
      <c r="E18" s="2"/>
      <c r="F18" s="3"/>
      <c r="G18" s="2" t="s">
        <v>61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4.65" customHeight="1" x14ac:dyDescent="0.25">
      <c r="A19" s="4" t="s">
        <v>62</v>
      </c>
      <c r="B19" s="13">
        <v>10.5</v>
      </c>
      <c r="C19" s="5" t="s">
        <v>15</v>
      </c>
      <c r="D19" s="2" t="s">
        <v>63</v>
      </c>
      <c r="E19" s="2"/>
      <c r="F19" s="2" t="s">
        <v>64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14.65" customHeight="1" x14ac:dyDescent="0.25">
      <c r="A20" s="4" t="s">
        <v>65</v>
      </c>
      <c r="B20" s="15">
        <v>1.1000000000000001</v>
      </c>
      <c r="C20" s="5" t="s">
        <v>18</v>
      </c>
      <c r="D20" s="2" t="s">
        <v>66</v>
      </c>
      <c r="E20" s="2"/>
      <c r="F20" s="2" t="s">
        <v>34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t="14.65" customHeight="1" x14ac:dyDescent="0.25">
      <c r="A21" s="4" t="s">
        <v>67</v>
      </c>
      <c r="B21" s="13" cm="1">
        <f t="array" ref="B21">B20*B19</f>
        <v>11.55</v>
      </c>
      <c r="C21" s="5" t="s">
        <v>15</v>
      </c>
      <c r="D21" s="2" t="s">
        <v>68</v>
      </c>
      <c r="E21" s="2"/>
      <c r="F21" s="2" t="s">
        <v>34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4.65" customHeight="1" x14ac:dyDescent="0.25">
      <c r="A22" s="4" t="s">
        <v>69</v>
      </c>
      <c r="B22" s="13" cm="1">
        <f t="array" ref="B22">SQRT(B19^2*B11/B10)</f>
        <v>22.924332051337942</v>
      </c>
      <c r="C22" s="5" t="s">
        <v>15</v>
      </c>
      <c r="D22" s="2" t="s">
        <v>70</v>
      </c>
      <c r="E22" s="2"/>
      <c r="F22" s="3"/>
      <c r="G22" s="2" t="s">
        <v>71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4.65" customHeight="1" x14ac:dyDescent="0.25">
      <c r="A23" s="4" t="s">
        <v>72</v>
      </c>
      <c r="B23" s="13" cm="1">
        <f t="array" ref="B23">SQRT(B26*B4*SQRT(B25^2-1))</f>
        <v>14.810748414335091</v>
      </c>
      <c r="C23" s="5" t="s">
        <v>15</v>
      </c>
      <c r="D23" s="2" t="s">
        <v>73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ht="14.65" customHeight="1" x14ac:dyDescent="0.25">
      <c r="A24" s="4" t="s">
        <v>74</v>
      </c>
      <c r="B24" s="13" cm="1">
        <f t="array" ref="B24">B19*SQRT(B25)</f>
        <v>12.859821149611683</v>
      </c>
      <c r="C24" s="5" t="s">
        <v>15</v>
      </c>
      <c r="D24" s="2" t="s">
        <v>75</v>
      </c>
      <c r="E24" s="2"/>
      <c r="F24" s="2" t="s">
        <v>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4.65" customHeight="1" x14ac:dyDescent="0.25">
      <c r="A25" s="4" t="s">
        <v>77</v>
      </c>
      <c r="B25" s="11">
        <v>1.5</v>
      </c>
      <c r="C25" s="5" t="s">
        <v>18</v>
      </c>
      <c r="D25" s="2" t="s">
        <v>78</v>
      </c>
      <c r="E25" s="2"/>
      <c r="F25" s="2" t="s">
        <v>79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ht="14.65" customHeight="1" x14ac:dyDescent="0.25">
      <c r="A26" s="4" t="s">
        <v>80</v>
      </c>
      <c r="B26" s="11">
        <v>20</v>
      </c>
      <c r="C26" s="5" t="s">
        <v>81</v>
      </c>
      <c r="D26" s="2" t="s">
        <v>82</v>
      </c>
      <c r="E26" s="2"/>
      <c r="F26" s="2" t="s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14.65" customHeight="1" x14ac:dyDescent="0.25">
      <c r="A27" s="4" t="s">
        <v>83</v>
      </c>
      <c r="B27" s="13" cm="1">
        <f t="array" ref="B27">DEGREES(ACOS(1/B25))</f>
        <v>48.189685104221404</v>
      </c>
      <c r="C27" s="5" t="s">
        <v>84</v>
      </c>
      <c r="D27" s="2" t="s">
        <v>85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4.65" customHeight="1" x14ac:dyDescent="0.25">
      <c r="A28" s="4" t="s">
        <v>86</v>
      </c>
      <c r="B28" s="11">
        <v>0.75</v>
      </c>
      <c r="C28" s="5" t="s">
        <v>18</v>
      </c>
      <c r="D28" s="2" t="s">
        <v>87</v>
      </c>
      <c r="E28" s="2"/>
      <c r="F28" s="2" t="s">
        <v>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t="14.65" customHeight="1" x14ac:dyDescent="0.25">
      <c r="A29" s="4" t="s">
        <v>89</v>
      </c>
      <c r="B29" s="11">
        <v>0.75</v>
      </c>
      <c r="C29" s="5" t="s">
        <v>18</v>
      </c>
      <c r="D29" s="2" t="s">
        <v>90</v>
      </c>
      <c r="E29" s="2"/>
      <c r="F29" s="2" t="s">
        <v>91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t="14.65" customHeight="1" x14ac:dyDescent="0.25">
      <c r="A30" s="4" t="s">
        <v>92</v>
      </c>
      <c r="B30" s="11">
        <v>0.45</v>
      </c>
      <c r="C30" s="5" t="s">
        <v>18</v>
      </c>
      <c r="D30" s="2" t="s">
        <v>93</v>
      </c>
      <c r="E30" s="2"/>
      <c r="F30" s="2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4.65" customHeight="1" x14ac:dyDescent="0.25">
      <c r="A31" s="4" t="s">
        <v>94</v>
      </c>
      <c r="B31" s="11">
        <v>30</v>
      </c>
      <c r="C31" s="5" t="s">
        <v>81</v>
      </c>
      <c r="D31" s="2" t="s">
        <v>95</v>
      </c>
      <c r="E31" s="2"/>
      <c r="F31" s="2" t="s">
        <v>96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t="14.65" customHeight="1" x14ac:dyDescent="0.25">
      <c r="A32" s="4" t="s">
        <v>97</v>
      </c>
      <c r="B32" s="11">
        <v>100</v>
      </c>
      <c r="C32" s="5" t="s">
        <v>81</v>
      </c>
      <c r="D32" s="2" t="s">
        <v>98</v>
      </c>
      <c r="E32" s="2"/>
      <c r="F32" s="2" t="s">
        <v>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t="14.65" customHeight="1" x14ac:dyDescent="0.25">
      <c r="A33" s="4" t="s">
        <v>100</v>
      </c>
      <c r="B33" s="13" cm="1">
        <f t="array" ref="B33">DEGREES(ATAN(30/100))</f>
        <v>16.699244233993621</v>
      </c>
      <c r="C33" s="5" t="s">
        <v>84</v>
      </c>
      <c r="D33" s="2" t="s">
        <v>101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4.65" customHeight="1" x14ac:dyDescent="0.25">
      <c r="A34" s="4" t="s">
        <v>102</v>
      </c>
      <c r="B34" s="13">
        <v>25</v>
      </c>
      <c r="C34" s="5" t="s">
        <v>81</v>
      </c>
      <c r="D34" s="2" t="s">
        <v>103</v>
      </c>
      <c r="E34" s="2"/>
      <c r="F34" s="2" t="s">
        <v>104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t="14.65" customHeight="1" x14ac:dyDescent="0.25">
      <c r="A35" s="4" t="s">
        <v>105</v>
      </c>
      <c r="B35" s="11">
        <v>95</v>
      </c>
      <c r="C35" s="5" t="s">
        <v>106</v>
      </c>
      <c r="D35" s="2" t="s">
        <v>107</v>
      </c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t="14.65" customHeight="1" x14ac:dyDescent="0.25">
      <c r="A36" s="4" t="s">
        <v>108</v>
      </c>
      <c r="B36" s="11">
        <v>7.0000000000000007E-2</v>
      </c>
      <c r="C36" s="5" t="s">
        <v>109</v>
      </c>
      <c r="D36" s="2" t="s">
        <v>110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4.65" customHeight="1" x14ac:dyDescent="0.25">
      <c r="A37" s="4" t="s">
        <v>111</v>
      </c>
      <c r="B37" s="11">
        <v>0.8</v>
      </c>
      <c r="C37" s="5" t="s">
        <v>18</v>
      </c>
      <c r="D37" s="2" t="s">
        <v>112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t="14.65" customHeight="1" x14ac:dyDescent="0.25">
      <c r="A38" s="4" t="s">
        <v>113</v>
      </c>
      <c r="B38" s="18">
        <v>4.45</v>
      </c>
      <c r="C38" s="2" t="s">
        <v>114</v>
      </c>
      <c r="D38" s="2" t="s">
        <v>115</v>
      </c>
      <c r="E38" s="2"/>
      <c r="F38" s="2" t="s">
        <v>116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14.65" customHeight="1" x14ac:dyDescent="0.25">
      <c r="A39" s="4" t="s">
        <v>117</v>
      </c>
      <c r="B39" s="19" cm="1">
        <f t="array" ref="B39">B4*B38</f>
        <v>43.654500000000006</v>
      </c>
      <c r="C39" s="2" t="s">
        <v>118</v>
      </c>
      <c r="D39" s="2" t="s">
        <v>119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t="14.65" customHeight="1" x14ac:dyDescent="0.25">
      <c r="A40" s="4" t="s">
        <v>120</v>
      </c>
      <c r="B40" s="20">
        <f>B39/B35</f>
        <v>0.459521052631579</v>
      </c>
      <c r="C40" s="2" t="s">
        <v>121</v>
      </c>
      <c r="D40" s="2" t="s">
        <v>122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t="14.65" customHeight="1" x14ac:dyDescent="0.25">
      <c r="A41" s="7" t="s">
        <v>143</v>
      </c>
      <c r="B41" s="21">
        <v>-0.08</v>
      </c>
      <c r="C41" s="2" t="s">
        <v>18</v>
      </c>
      <c r="D41" s="2" t="s">
        <v>123</v>
      </c>
      <c r="E41" s="2"/>
      <c r="F41" s="2" t="s">
        <v>124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ht="14.65" customHeight="1" x14ac:dyDescent="0.25">
      <c r="A42" s="7" t="s">
        <v>184</v>
      </c>
      <c r="B42" s="10">
        <f>B40/(B54-B55)</f>
        <v>0.31800764887998545</v>
      </c>
      <c r="C42" s="3"/>
      <c r="D42" s="2" t="s">
        <v>125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ht="14.65" customHeight="1" x14ac:dyDescent="0.25">
      <c r="A43" s="2" t="s">
        <v>126</v>
      </c>
      <c r="B43" s="6">
        <v>0.25</v>
      </c>
      <c r="C43" s="3"/>
      <c r="D43" s="2" t="s">
        <v>127</v>
      </c>
      <c r="E43" s="2"/>
      <c r="F43" s="7" t="s">
        <v>192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ht="14.65" customHeight="1" x14ac:dyDescent="0.25">
      <c r="A44" s="7" t="s">
        <v>128</v>
      </c>
      <c r="B44" s="6">
        <v>0.7</v>
      </c>
      <c r="C44" s="2" t="s">
        <v>129</v>
      </c>
      <c r="D44" s="2" t="s">
        <v>130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ht="14.65" customHeight="1" x14ac:dyDescent="0.25">
      <c r="A45" s="7" t="s">
        <v>193</v>
      </c>
      <c r="B45" s="6">
        <v>0.23</v>
      </c>
      <c r="C45" s="7" t="s">
        <v>18</v>
      </c>
      <c r="D45" s="7" t="s">
        <v>194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ht="14.65" customHeight="1" x14ac:dyDescent="0.25">
      <c r="A46" s="2" t="s">
        <v>131</v>
      </c>
      <c r="B46" s="6">
        <v>0.3</v>
      </c>
      <c r="C46" s="2" t="s">
        <v>18</v>
      </c>
      <c r="D46" s="2" t="s">
        <v>132</v>
      </c>
      <c r="E46" s="2"/>
      <c r="F46" s="2" t="s">
        <v>133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ht="14.65" customHeight="1" x14ac:dyDescent="0.25">
      <c r="A47" s="2" t="s">
        <v>134</v>
      </c>
      <c r="B47" s="6">
        <v>0.43</v>
      </c>
      <c r="C47" s="2" t="s">
        <v>18</v>
      </c>
      <c r="D47" s="2" t="s">
        <v>135</v>
      </c>
      <c r="E47" s="2"/>
      <c r="F47" s="2" t="s">
        <v>124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ht="14.65" customHeight="1" x14ac:dyDescent="0.25">
      <c r="A48" s="7" t="s">
        <v>159</v>
      </c>
      <c r="B48" s="6">
        <v>0.12</v>
      </c>
      <c r="C48" s="2" t="s">
        <v>81</v>
      </c>
      <c r="D48" s="2" t="s">
        <v>136</v>
      </c>
      <c r="E48" s="2"/>
      <c r="F48" s="2" t="s">
        <v>137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ht="14.65" customHeight="1" x14ac:dyDescent="0.25">
      <c r="A49" s="7" t="s">
        <v>167</v>
      </c>
      <c r="B49" s="6">
        <v>2.75</v>
      </c>
      <c r="C49" s="2" t="s">
        <v>18</v>
      </c>
      <c r="D49" s="2" t="s">
        <v>138</v>
      </c>
      <c r="E49" s="2"/>
      <c r="F49" s="2" t="s">
        <v>139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ht="14.65" customHeight="1" x14ac:dyDescent="0.25">
      <c r="A50" s="7" t="s">
        <v>158</v>
      </c>
      <c r="B50" s="6">
        <f>B49*B48</f>
        <v>0.32999999999999996</v>
      </c>
      <c r="C50" s="7" t="s">
        <v>81</v>
      </c>
      <c r="D50" s="2"/>
      <c r="E50" s="2"/>
      <c r="F50" s="2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ht="14.65" customHeight="1" x14ac:dyDescent="0.25">
      <c r="A51" s="8" t="s">
        <v>140</v>
      </c>
      <c r="B51" s="22">
        <v>0.65</v>
      </c>
      <c r="C51" s="8" t="s">
        <v>18</v>
      </c>
      <c r="D51" s="8" t="s">
        <v>141</v>
      </c>
      <c r="E51" s="8" t="s">
        <v>195</v>
      </c>
      <c r="F51" s="7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ht="14.65" customHeight="1" x14ac:dyDescent="0.25">
      <c r="A52" s="8" t="s">
        <v>190</v>
      </c>
      <c r="B52" s="22">
        <f>1/(PI()*B51*B49)</f>
        <v>0.17807546080212067</v>
      </c>
      <c r="C52" s="8" t="s">
        <v>18</v>
      </c>
      <c r="D52" s="8" t="s">
        <v>191</v>
      </c>
      <c r="E52" s="8"/>
      <c r="F52" s="7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ht="14.65" customHeight="1" x14ac:dyDescent="0.25">
      <c r="A53" s="3" t="s">
        <v>144</v>
      </c>
      <c r="B53" s="3">
        <v>0.15</v>
      </c>
      <c r="C53" s="23" t="s">
        <v>18</v>
      </c>
      <c r="D53" s="3" t="s">
        <v>145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t="14.65" customHeight="1" x14ac:dyDescent="0.25">
      <c r="A54" s="8" t="s">
        <v>148</v>
      </c>
      <c r="B54" s="3">
        <v>1.5</v>
      </c>
      <c r="C54" s="3" t="s">
        <v>81</v>
      </c>
      <c r="D54" s="3" t="s">
        <v>146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t="14.65" customHeight="1" x14ac:dyDescent="0.25">
      <c r="A55" s="8" t="s">
        <v>150</v>
      </c>
      <c r="B55" s="3">
        <v>5.5E-2</v>
      </c>
      <c r="C55" s="3" t="s">
        <v>81</v>
      </c>
      <c r="D55" s="8" t="s">
        <v>151</v>
      </c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t="14.65" customHeight="1" x14ac:dyDescent="0.25">
      <c r="A56" s="8" t="s">
        <v>149</v>
      </c>
      <c r="B56" s="3">
        <v>1</v>
      </c>
      <c r="C56" s="8" t="s">
        <v>81</v>
      </c>
      <c r="D56" s="8" t="s">
        <v>153</v>
      </c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t="14.65" customHeight="1" x14ac:dyDescent="0.25">
      <c r="A57" s="8" t="s">
        <v>152</v>
      </c>
      <c r="B57" s="3">
        <v>0.127</v>
      </c>
      <c r="C57" s="8" t="s">
        <v>121</v>
      </c>
      <c r="D57" s="8" t="s">
        <v>154</v>
      </c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t="14.65" customHeight="1" x14ac:dyDescent="0.25">
      <c r="A58" s="8" t="s">
        <v>161</v>
      </c>
      <c r="B58" s="3">
        <v>0.14000000000000001</v>
      </c>
      <c r="C58" s="8" t="s">
        <v>18</v>
      </c>
      <c r="D58" s="8" t="s">
        <v>155</v>
      </c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ht="14.65" customHeight="1" x14ac:dyDescent="0.25">
      <c r="A59" s="8" t="s">
        <v>156</v>
      </c>
      <c r="B59" s="3">
        <v>0.255</v>
      </c>
      <c r="C59" s="8" t="s">
        <v>18</v>
      </c>
      <c r="D59" s="8" t="s">
        <v>157</v>
      </c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t="14.65" customHeight="1" x14ac:dyDescent="0.25">
      <c r="A60" s="8" t="s">
        <v>160</v>
      </c>
      <c r="B60" s="3">
        <v>0.12</v>
      </c>
      <c r="C60" s="8" t="s">
        <v>18</v>
      </c>
      <c r="D60" s="8" t="s">
        <v>162</v>
      </c>
      <c r="E60" s="8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t="14.65" customHeight="1" x14ac:dyDescent="0.25">
      <c r="A61" s="8" t="s">
        <v>163</v>
      </c>
      <c r="B61" s="3">
        <v>0.3</v>
      </c>
      <c r="C61" s="8" t="s">
        <v>18</v>
      </c>
      <c r="D61" s="8" t="s">
        <v>164</v>
      </c>
      <c r="E61" s="8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t="14.65" customHeight="1" x14ac:dyDescent="0.25">
      <c r="A62" s="8" t="s">
        <v>165</v>
      </c>
      <c r="B62" s="3">
        <v>0.12</v>
      </c>
      <c r="C62" s="8" t="s">
        <v>81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ht="14.65" customHeight="1" x14ac:dyDescent="0.25">
      <c r="A63" s="8" t="s">
        <v>166</v>
      </c>
      <c r="B63" s="3">
        <v>0.2</v>
      </c>
      <c r="C63" s="8" t="s">
        <v>81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t="14.65" customHeight="1" x14ac:dyDescent="0.25">
      <c r="A64" s="8" t="s">
        <v>168</v>
      </c>
      <c r="B64" s="22">
        <f>B63/B62</f>
        <v>1.6666666666666667</v>
      </c>
      <c r="C64" s="8" t="s">
        <v>18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t="14.65" customHeight="1" x14ac:dyDescent="0.25">
      <c r="A65" s="8" t="s">
        <v>185</v>
      </c>
      <c r="B65" s="3">
        <v>0.12</v>
      </c>
      <c r="C65" s="8" t="s">
        <v>18</v>
      </c>
      <c r="D65" s="8" t="s">
        <v>162</v>
      </c>
      <c r="E65" s="8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t="14.65" customHeight="1" x14ac:dyDescent="0.25">
      <c r="A66" s="8" t="s">
        <v>186</v>
      </c>
      <c r="B66" s="3">
        <v>0.3</v>
      </c>
      <c r="C66" s="8" t="s">
        <v>18</v>
      </c>
      <c r="D66" s="8" t="s">
        <v>164</v>
      </c>
      <c r="E66" s="8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ht="14.65" customHeight="1" x14ac:dyDescent="0.25">
      <c r="A67" s="8" t="s">
        <v>169</v>
      </c>
      <c r="B67" s="3">
        <v>0.05</v>
      </c>
      <c r="C67" s="8" t="s">
        <v>81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t="14.65" customHeight="1" x14ac:dyDescent="0.25">
      <c r="A68" s="8" t="s">
        <v>170</v>
      </c>
      <c r="B68" s="3">
        <v>1.4999999999999999E-2</v>
      </c>
      <c r="C68" s="8" t="s">
        <v>81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14.65" customHeight="1" x14ac:dyDescent="0.25">
      <c r="A69" s="8" t="s">
        <v>171</v>
      </c>
      <c r="B69" s="3">
        <v>0.155</v>
      </c>
      <c r="C69" s="8" t="s">
        <v>81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ht="14.65" customHeight="1" x14ac:dyDescent="0.25">
      <c r="A70" s="8" t="s">
        <v>172</v>
      </c>
      <c r="B70" s="3">
        <v>1.6E-2</v>
      </c>
      <c r="C70" s="8" t="s">
        <v>81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ht="14.65" customHeight="1" x14ac:dyDescent="0.25">
      <c r="A71" s="8" t="s">
        <v>173</v>
      </c>
      <c r="B71" s="3">
        <v>0.05</v>
      </c>
      <c r="C71" s="8" t="s">
        <v>81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ht="14.65" customHeight="1" x14ac:dyDescent="0.25">
      <c r="A72" s="8" t="s">
        <v>174</v>
      </c>
      <c r="B72" s="3">
        <v>1.4999999999999999E-2</v>
      </c>
      <c r="C72" s="8" t="s">
        <v>81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ht="14.65" customHeight="1" x14ac:dyDescent="0.25">
      <c r="A73" s="8" t="s">
        <v>175</v>
      </c>
      <c r="B73" s="3">
        <v>0.09</v>
      </c>
      <c r="C73" s="8" t="s">
        <v>81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t="14.65" customHeight="1" x14ac:dyDescent="0.25">
      <c r="A74" s="8" t="s">
        <v>176</v>
      </c>
      <c r="B74" s="3">
        <v>0.01</v>
      </c>
      <c r="C74" s="8" t="s">
        <v>81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ht="14.65" customHeight="1" x14ac:dyDescent="0.25">
      <c r="A75" s="8" t="s">
        <v>177</v>
      </c>
      <c r="B75" s="3">
        <v>0.25</v>
      </c>
      <c r="C75" s="8" t="s">
        <v>18</v>
      </c>
      <c r="D75" s="8" t="s">
        <v>178</v>
      </c>
      <c r="E75" s="8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t="14.65" customHeight="1" x14ac:dyDescent="0.25">
      <c r="A76" s="8" t="s">
        <v>179</v>
      </c>
      <c r="B76" s="3">
        <v>0.3</v>
      </c>
      <c r="C76" s="8" t="s">
        <v>18</v>
      </c>
      <c r="D76" s="8" t="s">
        <v>180</v>
      </c>
      <c r="E76" s="8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ht="14.65" customHeight="1" x14ac:dyDescent="0.25">
      <c r="A77" s="8" t="s">
        <v>181</v>
      </c>
      <c r="B77" s="3">
        <v>1.1000000000000001</v>
      </c>
      <c r="C77" s="8" t="s">
        <v>18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t="14.6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t="14.6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ht="14.6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t="14.6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ht="14.6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ht="14.6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ht="14.6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t="14.6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ht="14.6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ht="14.6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ht="14.6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ht="14.6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ht="14.6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ht="14.6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ht="14.6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ht="14.6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ht="14.6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ht="14.6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ht="14.6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ht="14.6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ht="14.6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ht="14.6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ht="14.6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ht="14.6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ht="14.6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ht="14.6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ht="14.6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ht="14.6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ht="14.6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ht="14.6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ht="14.6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ht="14.6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ht="14.6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ht="14.6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ht="14.6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ht="14.6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ht="14.6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ht="14.6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ht="14.6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ht="14.6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ht="14.6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ht="14.6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ht="14.6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ht="14.6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ht="14.6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ht="14.6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ht="14.6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ht="14.6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ht="14.6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ht="14.6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ht="14.6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ht="14.6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ht="14.6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 ht="14.6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 ht="14.6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2026-09-12T19:11:27Z</dcterms:modified>
</cp:coreProperties>
</file>