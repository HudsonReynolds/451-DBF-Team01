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andre\Desktop\Fall 2026\AAE 451\451-DBF-Team01\"/>
    </mc:Choice>
  </mc:AlternateContent>
  <xr:revisionPtr revIDLastSave="0" documentId="13_ncr:1_{2B1D51F8-171E-4C00-B903-FD6F8A90555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PU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" l="1"/>
  <c r="B32" i="1"/>
  <c r="B26" i="1"/>
  <c r="B23" i="1"/>
  <c r="B11" i="1"/>
  <c r="B20" i="1"/>
  <c r="B12" i="1"/>
  <c r="B21" i="1"/>
  <c r="B8" i="1"/>
  <c r="B15" i="1" l="1"/>
  <c r="B16" i="1" s="1"/>
  <c r="B14" i="1"/>
  <c r="B17" i="1" s="1"/>
</calcChain>
</file>

<file path=xl/sharedStrings.xml><?xml version="1.0" encoding="utf-8"?>
<sst xmlns="http://schemas.openxmlformats.org/spreadsheetml/2006/main" count="146" uniqueCount="113">
  <si>
    <t>Parameter</t>
  </si>
  <si>
    <t>Value</t>
  </si>
  <si>
    <t>Source</t>
  </si>
  <si>
    <t>CL_max</t>
  </si>
  <si>
    <t>L_D_max</t>
  </si>
  <si>
    <t>V_S</t>
  </si>
  <si>
    <t>Units</t>
  </si>
  <si>
    <t>-</t>
  </si>
  <si>
    <t>m/s</t>
  </si>
  <si>
    <t>rho</t>
  </si>
  <si>
    <t>g</t>
  </si>
  <si>
    <t>kg/m^3</t>
  </si>
  <si>
    <t>Anderson</t>
  </si>
  <si>
    <t>mu_TO</t>
  </si>
  <si>
    <t>mu_L</t>
  </si>
  <si>
    <t>V_C</t>
  </si>
  <si>
    <t>V_TO</t>
  </si>
  <si>
    <t>V_S_M</t>
  </si>
  <si>
    <t>phi_C</t>
  </si>
  <si>
    <t>gamma</t>
  </si>
  <si>
    <t>AR</t>
  </si>
  <si>
    <t>eta_p</t>
  </si>
  <si>
    <t>eta_p_TO</t>
  </si>
  <si>
    <t>CD_0</t>
  </si>
  <si>
    <t>CD</t>
  </si>
  <si>
    <t>CD_G</t>
  </si>
  <si>
    <t>n</t>
  </si>
  <si>
    <t>e</t>
  </si>
  <si>
    <t>Sadraey, table 4.12</t>
  </si>
  <si>
    <t>Notes</t>
  </si>
  <si>
    <t>NIST</t>
  </si>
  <si>
    <t>Gudmundsson, table 18-4</t>
  </si>
  <si>
    <t>Concrete, no brakes</t>
  </si>
  <si>
    <t>Wet grass, no brakes</t>
  </si>
  <si>
    <t>K</t>
  </si>
  <si>
    <t>Sadraey, table 4.11</t>
  </si>
  <si>
    <t>Home-built</t>
  </si>
  <si>
    <t>CL_C</t>
  </si>
  <si>
    <t>Sadraey, ch. 4 pg. 132</t>
  </si>
  <si>
    <t>CD_TO</t>
  </si>
  <si>
    <t>Home-built/GA, fixed gear, same for TO (no flaps)</t>
  </si>
  <si>
    <t>Sadraey, eqn 4.67a</t>
  </si>
  <si>
    <t>Sadraey, eqn 4.40</t>
  </si>
  <si>
    <t>Sadraey, eqn 4.41</t>
  </si>
  <si>
    <t>CL_TO</t>
  </si>
  <si>
    <t>Sadraey, ch. 4 pg. 122</t>
  </si>
  <si>
    <t>Calculated</t>
  </si>
  <si>
    <t>mult_V_TO</t>
  </si>
  <si>
    <t>CL_R</t>
  </si>
  <si>
    <t>From CL_max and mult_V_TO</t>
  </si>
  <si>
    <t>Sadraey, eqn 4.68</t>
  </si>
  <si>
    <t>Sadraey, eqn 4.69c</t>
  </si>
  <si>
    <t>Description</t>
  </si>
  <si>
    <t>Air density</t>
  </si>
  <si>
    <t>SL air density</t>
  </si>
  <si>
    <t>Gravitational constant</t>
  </si>
  <si>
    <t>Takeoff friction coeff</t>
  </si>
  <si>
    <t>Landing friction coeff</t>
  </si>
  <si>
    <t>Oswald span efficiency</t>
  </si>
  <si>
    <t>Wing aspect ratio</t>
  </si>
  <si>
    <t>Takeoff CL</t>
  </si>
  <si>
    <t>Before rotation, no flaps, therefore similar to cruise</t>
  </si>
  <si>
    <t>Rotation CL</t>
  </si>
  <si>
    <t>Max CL (at stall)</t>
  </si>
  <si>
    <t>Cruise CL</t>
  </si>
  <si>
    <t>Zero lift CD</t>
  </si>
  <si>
    <t>CD at cruise</t>
  </si>
  <si>
    <t>CD at takeoff</t>
  </si>
  <si>
    <t>Ground roll CD</t>
  </si>
  <si>
    <t>Max lift efficiency</t>
  </si>
  <si>
    <t>Stall speed</t>
  </si>
  <si>
    <t>Takeoff speed multiplier</t>
  </si>
  <si>
    <t>Takeoff speed</t>
  </si>
  <si>
    <t>Cruise speed</t>
  </si>
  <si>
    <t>From CL_max, V_S, and CL_C</t>
  </si>
  <si>
    <t>Sadraey, table 5.8</t>
  </si>
  <si>
    <t>Home-built/GA</t>
  </si>
  <si>
    <t>Max load factor</t>
  </si>
  <si>
    <t>Sadraey, table 10.9</t>
  </si>
  <si>
    <t>Manuever stall speed</t>
  </si>
  <si>
    <t>bank_angle</t>
  </si>
  <si>
    <t>AAE 451, constraints slide 19</t>
  </si>
  <si>
    <t>Cruise throttle</t>
  </si>
  <si>
    <t>Climb angle</t>
  </si>
  <si>
    <t>deg</t>
  </si>
  <si>
    <t>Cruise propellor efficiency</t>
  </si>
  <si>
    <t>Takeoff propellor efficiency</t>
  </si>
  <si>
    <t>Gudmundsson, table 3-3</t>
  </si>
  <si>
    <t>Sadraey, ch. 4 pg. 126</t>
  </si>
  <si>
    <t>Bank angle</t>
  </si>
  <si>
    <t>In range from Guimaraes</t>
  </si>
  <si>
    <t>climb_alt</t>
  </si>
  <si>
    <t>climb_dist</t>
  </si>
  <si>
    <t>m</t>
  </si>
  <si>
    <t>Mission altitude</t>
  </si>
  <si>
    <t>Distance for climb to alt</t>
  </si>
  <si>
    <t>Estimated from mission flight path</t>
  </si>
  <si>
    <t>Mission requirements</t>
  </si>
  <si>
    <t>Wing loading</t>
  </si>
  <si>
    <t>Power loading</t>
  </si>
  <si>
    <t>N/W</t>
  </si>
  <si>
    <t>N/m^2</t>
  </si>
  <si>
    <t>Assumed at cruise</t>
  </si>
  <si>
    <t>W_S_design</t>
  </si>
  <si>
    <t>W_P_design</t>
  </si>
  <si>
    <t>V_M</t>
  </si>
  <si>
    <t>Manuever speed</t>
  </si>
  <si>
    <t>S_TO</t>
  </si>
  <si>
    <t>Takeoff distance</t>
  </si>
  <si>
    <t>RFP requirements</t>
  </si>
  <si>
    <t>R_M</t>
  </si>
  <si>
    <t>Turn radius</t>
  </si>
  <si>
    <t>Induced drag 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</si>
</sst>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1" applyNumberFormat="0" applyAlignment="0" applyProtection="0"/>
  </cellStyleXfs>
  <cellXfs count="9">
    <xf numFmtId="0" fontId="0" fillId="0" borderId="0" xfId="0"/>
    <xf numFmtId="0" fontId="1" fillId="2" borderId="1" xfId="1"/>
    <xf numFmtId="2" fontId="1" fillId="2" borderId="1" xfId="1" applyNumberFormat="1"/>
    <xf numFmtId="164" fontId="2" fillId="3" borderId="1" xfId="2" applyNumberFormat="1"/>
    <xf numFmtId="164" fontId="1" fillId="2" borderId="1" xfId="1" applyNumberFormat="1"/>
    <xf numFmtId="0" fontId="2" fillId="3" borderId="1" xfId="2"/>
    <xf numFmtId="2" fontId="2" fillId="3" borderId="1" xfId="2" applyNumberFormat="1"/>
    <xf numFmtId="165" fontId="1" fillId="2" borderId="1" xfId="1" applyNumberFormat="1"/>
    <xf numFmtId="0" fontId="1" fillId="2" borderId="2" xfId="1" applyBorder="1"/>
  </cellXfs>
  <cellStyles count="3">
    <cellStyle name="Calculation" xfId="2" builtinId="22"/>
    <cellStyle name="Input" xfId="1" builtinId="20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542925</xdr:colOff>
      <xdr:row>42</xdr:row>
      <xdr:rowOff>28575</xdr:rowOff>
    </xdr:from>
    <xdr:to>
      <xdr:col>4</xdr:col>
      <xdr:colOff>347718</xdr:colOff>
      <xdr:row>57</xdr:row>
      <xdr:rowOff>95250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85865D-243B-21C2-29FE-5EE213F21D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2925" y="6696075"/>
          <a:ext cx="3538593" cy="2924175"/>
        </a:xfrm>
        <a:prstGeom prst="rect">
          <a:avLst/>
        </a:prstGeom>
      </xdr:spPr>
    </xdr:pic>
    <xdr:clientData/>
  </xdr:twoCellAnchor>
  <xdr:twoCellAnchor editAs="oneCell">
    <xdr:from>
      <xdr:col>6</xdr:col>
      <xdr:colOff>540205</xdr:colOff>
      <xdr:row>39</xdr:row>
      <xdr:rowOff>131989</xdr:rowOff>
    </xdr:from>
    <xdr:to>
      <xdr:col>13</xdr:col>
      <xdr:colOff>308883</xdr:colOff>
      <xdr:row>53</xdr:row>
      <xdr:rowOff>106646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29341C1-471F-394B-1332-039B5EDF8D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59755" y="6799489"/>
          <a:ext cx="4035878" cy="2641657"/>
        </a:xfrm>
        <a:prstGeom prst="rect">
          <a:avLst/>
        </a:prstGeom>
      </xdr:spPr>
    </xdr:pic>
    <xdr:clientData/>
  </xdr:twoCellAnchor>
  <xdr:twoCellAnchor editAs="oneCell">
    <xdr:from>
      <xdr:col>0</xdr:col>
      <xdr:colOff>619125</xdr:colOff>
      <xdr:row>59</xdr:row>
      <xdr:rowOff>171450</xdr:rowOff>
    </xdr:from>
    <xdr:to>
      <xdr:col>4</xdr:col>
      <xdr:colOff>430742</xdr:colOff>
      <xdr:row>76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4FD1E4C-F1AE-BD9B-09A7-1331E49EA1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9125" y="10077450"/>
          <a:ext cx="3545417" cy="3190875"/>
        </a:xfrm>
        <a:prstGeom prst="rect">
          <a:avLst/>
        </a:prstGeom>
      </xdr:spPr>
    </xdr:pic>
    <xdr:clientData/>
  </xdr:twoCellAnchor>
  <xdr:twoCellAnchor editAs="oneCell">
    <xdr:from>
      <xdr:col>6</xdr:col>
      <xdr:colOff>297996</xdr:colOff>
      <xdr:row>66</xdr:row>
      <xdr:rowOff>108857</xdr:rowOff>
    </xdr:from>
    <xdr:to>
      <xdr:col>14</xdr:col>
      <xdr:colOff>153761</xdr:colOff>
      <xdr:row>86</xdr:row>
      <xdr:rowOff>769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51C7191-2FE1-4DBE-52CD-F9E9F6DB8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317796" y="12491357"/>
          <a:ext cx="4732565" cy="3701912"/>
        </a:xfrm>
        <a:prstGeom prst="rect">
          <a:avLst/>
        </a:prstGeom>
      </xdr:spPr>
    </xdr:pic>
    <xdr:clientData/>
  </xdr:twoCellAnchor>
  <xdr:twoCellAnchor editAs="oneCell">
    <xdr:from>
      <xdr:col>6</xdr:col>
      <xdr:colOff>254453</xdr:colOff>
      <xdr:row>58</xdr:row>
      <xdr:rowOff>81642</xdr:rowOff>
    </xdr:from>
    <xdr:to>
      <xdr:col>13</xdr:col>
      <xdr:colOff>472167</xdr:colOff>
      <xdr:row>64</xdr:row>
      <xdr:rowOff>67620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98D4E09-668D-3CEE-674D-583D9F625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74253" y="10940142"/>
          <a:ext cx="4484914" cy="1128978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381000</xdr:colOff>
      <xdr:row>77</xdr:row>
      <xdr:rowOff>182217</xdr:rowOff>
    </xdr:from>
    <xdr:to>
      <xdr:col>4</xdr:col>
      <xdr:colOff>784680</xdr:colOff>
      <xdr:row>86</xdr:row>
      <xdr:rowOff>24847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8378201-1D51-6FE3-74CF-890B33040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1000" y="13898217"/>
          <a:ext cx="4147833" cy="1557130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381000</xdr:colOff>
      <xdr:row>89</xdr:row>
      <xdr:rowOff>95250</xdr:rowOff>
    </xdr:from>
    <xdr:to>
      <xdr:col>4</xdr:col>
      <xdr:colOff>1609725</xdr:colOff>
      <xdr:row>92</xdr:row>
      <xdr:rowOff>20003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98E0B5B-659D-CEE9-3A24-3693AA75A0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81000" y="16478250"/>
          <a:ext cx="4962525" cy="496253"/>
        </a:xfrm>
        <a:prstGeom prst="rect">
          <a:avLst/>
        </a:prstGeom>
      </xdr:spPr>
    </xdr:pic>
    <xdr:clientData/>
  </xdr:twoCellAnchor>
  <xdr:twoCellAnchor editAs="oneCell">
    <xdr:from>
      <xdr:col>7</xdr:col>
      <xdr:colOff>104775</xdr:colOff>
      <xdr:row>88</xdr:row>
      <xdr:rowOff>142875</xdr:rowOff>
    </xdr:from>
    <xdr:to>
      <xdr:col>13</xdr:col>
      <xdr:colOff>248180</xdr:colOff>
      <xdr:row>109</xdr:row>
      <xdr:rowOff>57696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6EBDD73-E8D9-03CD-63D6-2133043EFA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15125" y="16906875"/>
          <a:ext cx="3801005" cy="391532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95</xdr:row>
      <xdr:rowOff>0</xdr:rowOff>
    </xdr:from>
    <xdr:to>
      <xdr:col>5</xdr:col>
      <xdr:colOff>48283</xdr:colOff>
      <xdr:row>110</xdr:row>
      <xdr:rowOff>152820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04BE162-6BBA-5A7A-5CB0-4DD6DA46E4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23900" y="17716500"/>
          <a:ext cx="4715533" cy="3010320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</xdr:colOff>
      <xdr:row>112</xdr:row>
      <xdr:rowOff>161925</xdr:rowOff>
    </xdr:from>
    <xdr:to>
      <xdr:col>4</xdr:col>
      <xdr:colOff>1647825</xdr:colOff>
      <xdr:row>127</xdr:row>
      <xdr:rowOff>173513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D8222C7-53BC-4271-33A8-EF554B7730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71525" y="21116925"/>
          <a:ext cx="4543425" cy="2869088"/>
        </a:xfrm>
        <a:prstGeom prst="rect">
          <a:avLst/>
        </a:prstGeom>
      </xdr:spPr>
    </xdr:pic>
    <xdr:clientData/>
  </xdr:twoCellAnchor>
  <xdr:twoCellAnchor editAs="oneCell">
    <xdr:from>
      <xdr:col>5</xdr:col>
      <xdr:colOff>285750</xdr:colOff>
      <xdr:row>115</xdr:row>
      <xdr:rowOff>57150</xdr:rowOff>
    </xdr:from>
    <xdr:to>
      <xdr:col>16</xdr:col>
      <xdr:colOff>19050</xdr:colOff>
      <xdr:row>121</xdr:row>
      <xdr:rowOff>139546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EFCE2E77-7396-F476-E355-AA7247FC8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5676900" y="21774150"/>
          <a:ext cx="6438900" cy="12253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5"/>
  <sheetViews>
    <sheetView tabSelected="1" topLeftCell="A15" zoomScale="145" zoomScaleNormal="145" workbookViewId="0">
      <selection activeCell="F16" sqref="F16"/>
    </sheetView>
  </sheetViews>
  <sheetFormatPr defaultRowHeight="15" x14ac:dyDescent="0.25"/>
  <cols>
    <col min="1" max="1" width="11.85546875" bestFit="1" customWidth="1"/>
    <col min="4" max="4" width="25.85546875" bestFit="1" customWidth="1"/>
    <col min="5" max="5" width="25.85546875" customWidth="1"/>
  </cols>
  <sheetData>
    <row r="1" spans="1:6" x14ac:dyDescent="0.25">
      <c r="A1" t="s">
        <v>0</v>
      </c>
      <c r="B1" t="s">
        <v>1</v>
      </c>
      <c r="C1" t="s">
        <v>6</v>
      </c>
      <c r="D1" t="s">
        <v>52</v>
      </c>
      <c r="E1" t="s">
        <v>2</v>
      </c>
      <c r="F1" t="s">
        <v>29</v>
      </c>
    </row>
    <row r="2" spans="1:6" x14ac:dyDescent="0.25">
      <c r="A2" t="s">
        <v>9</v>
      </c>
      <c r="B2" s="1">
        <v>1.2250000000000001</v>
      </c>
      <c r="C2" t="s">
        <v>11</v>
      </c>
      <c r="D2" t="s">
        <v>53</v>
      </c>
      <c r="E2" t="s">
        <v>12</v>
      </c>
      <c r="F2" t="s">
        <v>54</v>
      </c>
    </row>
    <row r="3" spans="1:6" x14ac:dyDescent="0.25">
      <c r="A3" t="s">
        <v>10</v>
      </c>
      <c r="B3" s="1">
        <v>9.81</v>
      </c>
      <c r="C3" t="s">
        <v>8</v>
      </c>
      <c r="D3" t="s">
        <v>55</v>
      </c>
      <c r="E3" t="s">
        <v>30</v>
      </c>
    </row>
    <row r="4" spans="1:6" x14ac:dyDescent="0.25">
      <c r="A4" t="s">
        <v>13</v>
      </c>
      <c r="B4" s="1">
        <v>0.05</v>
      </c>
      <c r="C4" t="s">
        <v>7</v>
      </c>
      <c r="D4" t="s">
        <v>56</v>
      </c>
      <c r="E4" t="s">
        <v>31</v>
      </c>
      <c r="F4" t="s">
        <v>32</v>
      </c>
    </row>
    <row r="5" spans="1:6" x14ac:dyDescent="0.25">
      <c r="A5" t="s">
        <v>14</v>
      </c>
      <c r="B5" s="1">
        <v>0.08</v>
      </c>
      <c r="C5" t="s">
        <v>7</v>
      </c>
      <c r="D5" t="s">
        <v>57</v>
      </c>
      <c r="E5" t="s">
        <v>31</v>
      </c>
      <c r="F5" t="s">
        <v>33</v>
      </c>
    </row>
    <row r="6" spans="1:6" x14ac:dyDescent="0.25">
      <c r="A6" t="s">
        <v>27</v>
      </c>
      <c r="B6" s="2">
        <v>0.7</v>
      </c>
      <c r="C6" t="s">
        <v>7</v>
      </c>
      <c r="D6" t="s">
        <v>58</v>
      </c>
      <c r="E6" t="s">
        <v>45</v>
      </c>
    </row>
    <row r="7" spans="1:6" x14ac:dyDescent="0.25">
      <c r="A7" t="s">
        <v>20</v>
      </c>
      <c r="B7" s="2">
        <v>5</v>
      </c>
      <c r="C7" t="s">
        <v>7</v>
      </c>
      <c r="D7" t="s">
        <v>59</v>
      </c>
      <c r="E7" t="s">
        <v>75</v>
      </c>
      <c r="F7" t="s">
        <v>76</v>
      </c>
    </row>
    <row r="8" spans="1:6" x14ac:dyDescent="0.25">
      <c r="A8" t="s">
        <v>34</v>
      </c>
      <c r="B8" s="3">
        <f>1/(PI()*B6*B7)</f>
        <v>9.0945681766797334E-2</v>
      </c>
      <c r="C8" t="s">
        <v>7</v>
      </c>
      <c r="D8" t="s">
        <v>112</v>
      </c>
      <c r="E8" t="s">
        <v>43</v>
      </c>
    </row>
    <row r="9" spans="1:6" x14ac:dyDescent="0.25">
      <c r="A9" t="s">
        <v>37</v>
      </c>
      <c r="B9" s="1">
        <v>0.3</v>
      </c>
      <c r="C9" t="s">
        <v>7</v>
      </c>
      <c r="D9" t="s">
        <v>64</v>
      </c>
      <c r="E9" t="s">
        <v>38</v>
      </c>
    </row>
    <row r="10" spans="1:6" x14ac:dyDescent="0.25">
      <c r="A10" t="s">
        <v>3</v>
      </c>
      <c r="B10" s="1">
        <v>1.5</v>
      </c>
      <c r="C10" t="s">
        <v>7</v>
      </c>
      <c r="D10" t="s">
        <v>63</v>
      </c>
      <c r="E10" t="s">
        <v>35</v>
      </c>
      <c r="F10" t="s">
        <v>36</v>
      </c>
    </row>
    <row r="11" spans="1:6" x14ac:dyDescent="0.25">
      <c r="A11" t="s">
        <v>44</v>
      </c>
      <c r="B11" s="5">
        <f>B9</f>
        <v>0.3</v>
      </c>
      <c r="C11" t="s">
        <v>7</v>
      </c>
      <c r="D11" t="s">
        <v>60</v>
      </c>
      <c r="E11" t="s">
        <v>51</v>
      </c>
      <c r="F11" t="s">
        <v>61</v>
      </c>
    </row>
    <row r="12" spans="1:6" x14ac:dyDescent="0.25">
      <c r="A12" t="s">
        <v>48</v>
      </c>
      <c r="B12" s="6">
        <f>B10/B19^2</f>
        <v>1.2396694214876032</v>
      </c>
      <c r="C12" t="s">
        <v>7</v>
      </c>
      <c r="D12" t="s">
        <v>62</v>
      </c>
      <c r="E12" t="s">
        <v>46</v>
      </c>
      <c r="F12" t="s">
        <v>49</v>
      </c>
    </row>
    <row r="13" spans="1:6" x14ac:dyDescent="0.25">
      <c r="A13" t="s">
        <v>23</v>
      </c>
      <c r="B13" s="4">
        <v>0.04</v>
      </c>
      <c r="C13" t="s">
        <v>7</v>
      </c>
      <c r="D13" t="s">
        <v>65</v>
      </c>
      <c r="E13" t="s">
        <v>28</v>
      </c>
      <c r="F13" t="s">
        <v>40</v>
      </c>
    </row>
    <row r="14" spans="1:6" x14ac:dyDescent="0.25">
      <c r="A14" t="s">
        <v>24</v>
      </c>
      <c r="B14" s="3">
        <f>B13+B8*B9^2</f>
        <v>4.8185111359011761E-2</v>
      </c>
      <c r="C14" t="s">
        <v>7</v>
      </c>
      <c r="D14" t="s">
        <v>66</v>
      </c>
      <c r="E14" t="s">
        <v>42</v>
      </c>
    </row>
    <row r="15" spans="1:6" x14ac:dyDescent="0.25">
      <c r="A15" t="s">
        <v>39</v>
      </c>
      <c r="B15" s="3">
        <f>B13+B8*B11^2</f>
        <v>4.8185111359011761E-2</v>
      </c>
      <c r="C15" t="s">
        <v>7</v>
      </c>
      <c r="D15" t="s">
        <v>67</v>
      </c>
      <c r="E15" t="s">
        <v>50</v>
      </c>
      <c r="F15" t="s">
        <v>61</v>
      </c>
    </row>
    <row r="16" spans="1:6" x14ac:dyDescent="0.25">
      <c r="A16" t="s">
        <v>25</v>
      </c>
      <c r="B16" s="3">
        <f>B15-B4*B11</f>
        <v>3.3185111359011761E-2</v>
      </c>
      <c r="C16" t="s">
        <v>7</v>
      </c>
      <c r="D16" t="s">
        <v>68</v>
      </c>
      <c r="E16" t="s">
        <v>41</v>
      </c>
    </row>
    <row r="17" spans="1:6" x14ac:dyDescent="0.25">
      <c r="A17" t="s">
        <v>4</v>
      </c>
      <c r="B17" s="6">
        <f>B9/B14</f>
        <v>6.2259895544247374</v>
      </c>
      <c r="C17" t="s">
        <v>7</v>
      </c>
      <c r="D17" t="s">
        <v>69</v>
      </c>
      <c r="F17" t="s">
        <v>102</v>
      </c>
    </row>
    <row r="18" spans="1:6" x14ac:dyDescent="0.25">
      <c r="A18" t="s">
        <v>5</v>
      </c>
      <c r="B18" s="2">
        <v>10.5</v>
      </c>
      <c r="C18" t="s">
        <v>8</v>
      </c>
      <c r="D18" t="s">
        <v>70</v>
      </c>
      <c r="E18" t="s">
        <v>90</v>
      </c>
    </row>
    <row r="19" spans="1:6" x14ac:dyDescent="0.25">
      <c r="A19" t="s">
        <v>47</v>
      </c>
      <c r="B19" s="7">
        <v>1.1000000000000001</v>
      </c>
      <c r="C19" t="s">
        <v>7</v>
      </c>
      <c r="D19" t="s">
        <v>71</v>
      </c>
      <c r="E19" t="s">
        <v>38</v>
      </c>
    </row>
    <row r="20" spans="1:6" x14ac:dyDescent="0.25">
      <c r="A20" t="s">
        <v>16</v>
      </c>
      <c r="B20" s="6">
        <f>B19*B18</f>
        <v>11.55</v>
      </c>
      <c r="C20" t="s">
        <v>8</v>
      </c>
      <c r="D20" t="s">
        <v>72</v>
      </c>
      <c r="E20" t="s">
        <v>38</v>
      </c>
    </row>
    <row r="21" spans="1:6" x14ac:dyDescent="0.25">
      <c r="A21" t="s">
        <v>15</v>
      </c>
      <c r="B21" s="6">
        <f>SQRT(B18^2*B10/B9)</f>
        <v>23.478713763747791</v>
      </c>
      <c r="C21" t="s">
        <v>8</v>
      </c>
      <c r="D21" t="s">
        <v>73</v>
      </c>
      <c r="F21" t="s">
        <v>74</v>
      </c>
    </row>
    <row r="22" spans="1:6" x14ac:dyDescent="0.25">
      <c r="A22" t="s">
        <v>105</v>
      </c>
      <c r="B22" s="6">
        <f>SQRT(B25*B3*SQRT(B24^2-1))</f>
        <v>14.810748414335091</v>
      </c>
      <c r="C22" t="s">
        <v>8</v>
      </c>
      <c r="D22" t="s">
        <v>106</v>
      </c>
    </row>
    <row r="23" spans="1:6" x14ac:dyDescent="0.25">
      <c r="A23" t="s">
        <v>17</v>
      </c>
      <c r="B23" s="6">
        <f>B18*SQRT(B24)</f>
        <v>12.859821149611683</v>
      </c>
      <c r="C23" t="s">
        <v>8</v>
      </c>
      <c r="D23" t="s">
        <v>79</v>
      </c>
      <c r="E23" t="s">
        <v>81</v>
      </c>
    </row>
    <row r="24" spans="1:6" x14ac:dyDescent="0.25">
      <c r="A24" t="s">
        <v>26</v>
      </c>
      <c r="B24" s="1">
        <v>1.5</v>
      </c>
      <c r="C24" t="s">
        <v>7</v>
      </c>
      <c r="D24" t="s">
        <v>77</v>
      </c>
      <c r="E24" t="s">
        <v>78</v>
      </c>
    </row>
    <row r="25" spans="1:6" x14ac:dyDescent="0.25">
      <c r="A25" t="s">
        <v>110</v>
      </c>
      <c r="B25" s="1">
        <v>20</v>
      </c>
      <c r="C25" t="s">
        <v>93</v>
      </c>
      <c r="D25" t="s">
        <v>111</v>
      </c>
      <c r="E25" t="s">
        <v>81</v>
      </c>
    </row>
    <row r="26" spans="1:6" x14ac:dyDescent="0.25">
      <c r="A26" t="s">
        <v>80</v>
      </c>
      <c r="B26" s="6">
        <f>DEGREES(ACOS(1/B24))</f>
        <v>48.189685104221404</v>
      </c>
      <c r="C26" t="s">
        <v>84</v>
      </c>
      <c r="D26" t="s">
        <v>89</v>
      </c>
    </row>
    <row r="27" spans="1:6" x14ac:dyDescent="0.25">
      <c r="A27" t="s">
        <v>18</v>
      </c>
      <c r="B27" s="1">
        <v>0.75</v>
      </c>
      <c r="C27" t="s">
        <v>7</v>
      </c>
      <c r="D27" t="s">
        <v>82</v>
      </c>
      <c r="E27" t="s">
        <v>88</v>
      </c>
    </row>
    <row r="28" spans="1:6" x14ac:dyDescent="0.25">
      <c r="A28" t="s">
        <v>21</v>
      </c>
      <c r="B28" s="1">
        <v>0.75</v>
      </c>
      <c r="C28" t="s">
        <v>7</v>
      </c>
      <c r="D28" t="s">
        <v>85</v>
      </c>
      <c r="E28" t="s">
        <v>87</v>
      </c>
    </row>
    <row r="29" spans="1:6" x14ac:dyDescent="0.25">
      <c r="A29" t="s">
        <v>22</v>
      </c>
      <c r="B29" s="1">
        <v>0.45</v>
      </c>
      <c r="C29" t="s">
        <v>7</v>
      </c>
      <c r="D29" t="s">
        <v>86</v>
      </c>
      <c r="E29" t="s">
        <v>87</v>
      </c>
    </row>
    <row r="30" spans="1:6" x14ac:dyDescent="0.25">
      <c r="A30" t="s">
        <v>91</v>
      </c>
      <c r="B30" s="1">
        <v>30</v>
      </c>
      <c r="C30" t="s">
        <v>93</v>
      </c>
      <c r="D30" t="s">
        <v>94</v>
      </c>
      <c r="E30" t="s">
        <v>97</v>
      </c>
    </row>
    <row r="31" spans="1:6" x14ac:dyDescent="0.25">
      <c r="A31" t="s">
        <v>92</v>
      </c>
      <c r="B31" s="8">
        <v>100</v>
      </c>
      <c r="C31" t="s">
        <v>93</v>
      </c>
      <c r="D31" t="s">
        <v>95</v>
      </c>
      <c r="E31" t="s">
        <v>96</v>
      </c>
    </row>
    <row r="32" spans="1:6" x14ac:dyDescent="0.25">
      <c r="A32" t="s">
        <v>19</v>
      </c>
      <c r="B32" s="6">
        <f>DEGREES(ATAN(30/100))</f>
        <v>16.699244233993621</v>
      </c>
      <c r="C32" t="s">
        <v>84</v>
      </c>
      <c r="D32" t="s">
        <v>83</v>
      </c>
    </row>
    <row r="33" spans="1:5" x14ac:dyDescent="0.25">
      <c r="A33" t="s">
        <v>107</v>
      </c>
      <c r="B33" s="2">
        <v>25</v>
      </c>
      <c r="C33" t="s">
        <v>93</v>
      </c>
      <c r="D33" t="s">
        <v>108</v>
      </c>
      <c r="E33" t="s">
        <v>109</v>
      </c>
    </row>
    <row r="34" spans="1:5" x14ac:dyDescent="0.25">
      <c r="A34" t="s">
        <v>103</v>
      </c>
      <c r="B34" s="8">
        <v>100</v>
      </c>
      <c r="C34" t="s">
        <v>101</v>
      </c>
      <c r="D34" t="s">
        <v>98</v>
      </c>
    </row>
    <row r="35" spans="1:5" x14ac:dyDescent="0.25">
      <c r="A35" t="s">
        <v>104</v>
      </c>
      <c r="B35" s="1">
        <v>7.0000000000000007E-2</v>
      </c>
      <c r="C35" t="s">
        <v>100</v>
      </c>
      <c r="D35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Andrew Nery</cp:lastModifiedBy>
  <dcterms:created xsi:type="dcterms:W3CDTF">2015-06-05T18:17:20Z</dcterms:created>
  <dcterms:modified xsi:type="dcterms:W3CDTF">2026-08-31T01:43:57Z</dcterms:modified>
</cp:coreProperties>
</file>