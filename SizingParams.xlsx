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jpreisle\Documents\GitHub\451-DBF-Team01\"/>
    </mc:Choice>
  </mc:AlternateContent>
  <xr:revisionPtr revIDLastSave="0" documentId="13_ncr:1_{55BAD827-51CD-4E37-82D9-DB1049C29BC0}" xr6:coauthVersionLast="47" xr6:coauthVersionMax="47" xr10:uidLastSave="{00000000-0000-0000-0000-000000000000}"/>
  <bookViews>
    <workbookView xWindow="-120" yWindow="-120" windowWidth="38640" windowHeight="21120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<sst xmlns="http://schemas.openxmlformats.org/spreadsheetml/2006/main" xmlns:r="http://schemas.openxmlformats.org/officeDocument/2006/relationships" xmlns:xdr="http://schemas.openxmlformats.org/drawingml/2006/spreadsheetDrawing" count="1608" uniqueCount="539">
  <si>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</si>
  <si>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</si>
  <si>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</si>
  <si>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</si>
  <si>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</si>
  <si>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</si>
  <si>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</si>
  <si>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</si>
  <si>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</si>
  <si>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</si>
  <si>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</si>
  <si>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</si>
  <si>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</si>
  <si>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</si>
  <si>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</si>
  <si>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</si>
  <si>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</si>
  <si>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</si>
  <si>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</si>
  <si>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</si>
  <si>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</si>
  <si>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</si>
  <si>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</si>
  <si>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</si>
  <si>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</si>
  <si>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</si>
  <si>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</si>
  <si>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</si>
  <si>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</si>
  <si>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</si>
  <si>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</si>
  <si>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</si>
  <si>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</si>
  <si>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</si>
  <si>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</si>
  <si>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</si>
  <si>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</si>
  <si>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</si>
  <si>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</si>
  <si>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</si>
  <si>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</si>
  <si>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</si>
  <si>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</si>
  <si>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</si>
  <si>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</si>
  <si>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</si>
  <si>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</si>
  <si>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</si>
  <si>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</si>
  <si>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</si>
  <si>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</si>
  <si>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</si>
  <si>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</si>
  <si>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</si>
  <si>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</si>
  <si>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</si>
  <si>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</si>
  <si>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</si>
  <si>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</si>
  <si>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</si>
  <si>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</si>
  <si>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</si>
  <si>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</si>
  <si>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</si>
  <si>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</si>
  <si>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</si>
  <si>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</si>
  <si>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</si>
  <si>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</si>
  <si>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</si>
  <si>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</si>
  <si>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</si>
  <si>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</si>
  <si>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</si>
  <si>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</si>
  <si>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</si>
  <si>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</si>
  <si>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</si>
  <si>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</si>
  <si>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</si>
  <si>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</si>
  <si>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</si>
  <si>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</si>
  <si>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</si>
  <si>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</si>
  <si>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</si>
  <si>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</si>
  <si>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</si>
  <si>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</si>
  <si>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</si>
  <si>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</si>
  <si>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</si>
  <si>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</si>
  <si>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</si>
  <si>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</si>
  <si>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</si>
  <si>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</si>
  <si>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</si>
  <si>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</si>
  <si>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</si>
  <si>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</si>
  <si>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</si>
  <si>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</si>
  <si>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</si>
  <si>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</si>
  <si>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</si>
  <si>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</si>
  <si>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</si>
  <si>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</si>
  <si>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</si>
  <si>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</si>
  <si>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</si>
  <si>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</si>
  <si>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</si>
  <si>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</si>
  <si>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</si>
  <si>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</si>
  <si>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</si>
  <si>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</si>
  <si>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</si>
  <si>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</si>
  <si>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</si>
  <si>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</si>
  <si>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</si>
  <si>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</si>
  <si>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</si>
  <si>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</si>
  <si>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</si>
  <si>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</si>
  <si>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</si>
  <si>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</si>
  <si>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</si>
  <si>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</si>
  <si>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</si>
  <si>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</si>
  <si>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</si>
  <si>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</si>
  <si>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</si>
  <si>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</si>
  <si>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</si>
  <si>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</si>
  <si>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</si>
  <si>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</si>
  <si>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</si>
  <si>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</si>
  <si>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</si>
  <si>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</si>
  <si>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</si>
  <si>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</si>
  <si>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</si>
  <si>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</si>
  <si>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</si>
  <si>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</si>
  <si>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</si>
  <si>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</si>
  <si>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</si>
  <si>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</si>
  <si>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</si>
  <si>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</si>
  <si>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</si>
  <si>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</si>
  <si>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</si>
  <si>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</si>
  <si>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</si>
  <si>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</si>
  <si>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</si>
  <si>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</si>
  <si>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</si>
  <si>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</si>
  <si>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</si>
  <si>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</si>
  <si>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</si>
  <si>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</si>
  <si>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</si>
  <si>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</si>
  <si>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</si>
  <si>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</si>
  <si>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</si>
  <si>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</si>
  <si>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</si>
  <si>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</si>
  <si>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</si>
  <si>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</si>
  <si>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</si>
  <si>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</si>
  <si>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</si>
  <si>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</si>
  <si>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</si>
  <si>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</si>
  <si>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</si>
  <si>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</si>
  <si>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</si>
  <si>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</si>
  <si>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</si>
  <si>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</si>
  <si>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</si>
  <si>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</si>
  <si>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</si>
  <si>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</si>
  <si>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</si>
  <si>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</si>
  <si>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</si>
  <si>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</si>
  <si>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</si>
  <si>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</si>
  <si>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</si>
  <si>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</si>
  <si>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</si>
  <si>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</si>
  <si>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</si>
  <si>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</si>
  <si>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</si>
  <si>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</si>
  <si>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</si>
  <si>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</si>
  <si>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</si>
  <si>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</si>
  <si>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</si>
  <si>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</si>
  <si>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</si>
  <si>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</si>
  <si>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</si>
  <si>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</si>
  <si>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</si>
  <si>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</si>
  <si>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</si>
  <si>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</si>
  <si>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</si>
  <si>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</si>
  <si>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</si>
  <si>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</si>
  <si>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</si>
  <si>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</si>
  <si>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</si>
  <si>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</si>
  <si>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</si>
  <si>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</si>
  <si>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</si>
  <si>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</si>
  <si>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</si>
  <si>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</si>
  <si>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</si>
  <si>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</si>
  <si>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</si>
  <si>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</si>
  <si>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</si>
  <si>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</si>
  <si>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</si>
  <si>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</si>
  <si>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</si>
  <si>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</si>
  <si>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</si>
  <si>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</si>
  <si>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</si>
  <si>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</si>
  <si>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</si>
  <si>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</si>
  <si>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</si>
  <si>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</si>
  <si>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</si>
  <si>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</si>
  <si>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</si>
  <si>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</si>
  <si>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</si>
  <si>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</si>
  <si>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</si>
  <si>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</si>
  <si>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</si>
  <si>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</si>
  <si>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</si>
  <si>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</si>
  <si>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</si>
  <si>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</si>
  <si>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</si>
  <si>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</si>
  <si>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</si>
  <si>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</si>
  <si>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</si>
  <si>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</si>
  <si>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</si>
  <si>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</si>
  <si>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</si>
  <si>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</si>
  <si>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</si>
  <si>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</si>
  <si>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</si>
  <si>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</si>
  <si>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</si>
  <si>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</si>
  <si>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</si>
  <si>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</si>
  <si>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</si>
  <si>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</si>
  <si>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</si>
  <si>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</si>
  <si>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</si>
  <si>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</si>
  <si>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</si>
  <si>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</si>
  <si>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</si>
  <si>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</si>
  <si>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</si>
  <si>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</si>
  <si>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</si>
  <si>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</si>
  <si>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</si>
  <si>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</si>
  <si>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</si>
  <si>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</si>
  <si>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</si>
  <si>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</si>
  <si>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</si>
  <si>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</si>
  <si>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</si>
  <si>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</si>
  <si>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</si>
  <si>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</si>
  <si>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</si>
  <si>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</si>
  <si>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</si>
  <si>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</si>
  <si>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</si>
  <si>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</si>
  <si>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</si>
  <si>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</si>
  <si>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</si>
  <si>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</si>
  <si>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</si>
  <si>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</si>
  <si>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</si>
  <si>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</si>
  <si>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</si>
  <si>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</si>
  <si>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</si>
  <si>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</si>
  <si>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</si>
  <si>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</si>
  <si>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</si>
  <si>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</si>
  <si>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</si>
  <si>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</si>
  <si>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</si>
  <si>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</si>
  <si>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</si>
  <si>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</si>
  <si>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</si>
  <si>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</si>
  <si>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</si>
  <si>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</si>
  <si>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</si>
  <si>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</si>
  <si>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</si>
  <si>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</si>
  <si>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</si>
  <si>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</si>
  <si>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</si>
  <si>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</si>
  <si>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</si>
  <si>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</si>
  <si>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</si>
  <si>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</si>
  <si>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</si>
  <si>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</si>
  <si>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</si>
  <si>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</si>
  <si>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</si>
  <si>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</si>
  <si>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</si>
  <si>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</si>
  <si>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</si>
  <si>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</si>
  <si>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</si>
  <si>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</si>
  <si>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</si>
  <si>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</si>
  <si>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</si>
  <si>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</si>
  <si>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</si>
  <si>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</si>
  <si>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</si>
  <si>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</si>
  <si>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</si>
  <si>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</si>
  <si>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</si>
  <si>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</si>
  <si>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</si>
  <si>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</si>
  <si>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</si>
  <si>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</si>
  <si>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</si>
  <si>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</si>
  <si>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</si>
  <si>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</si>
  <si>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</si>
  <si>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</si>
  <si>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</si>
  <si>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</si>
  <si>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</si>
  <si>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</si>
  <si>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</si>
  <si>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</si>
  <si>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</si>
  <si>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</si>
  <si>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</si>
  <si>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</si>
  <si>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</si>
  <si>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</si>
  <si>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</si>
  <si>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</si>
  <si>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</si>
  <si>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</si>
  <si>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</si>
  <si>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</si>
  <si>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</si>
  <si>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</si>
  <si>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</si>
  <si>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</si>
  <si>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</si>
  <si>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</si>
  <si>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</si>
  <si>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</si>
  <si>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</si>
  <si>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</si>
  <si>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</si>
  <si>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</si>
  <si>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</si>
  <si>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</si>
  <si>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</si>
  <si>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</si>
  <si>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</si>
  <si>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</si>
  <si>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</si>
  <si>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</si>
  <si>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</si>
  <si>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</si>
  <si>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</si>
  <si>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</si>
  <si>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</si>
  <si>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</si>
  <si>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</si>
  <si>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</si>
  <si>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</si>
  <si>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</si>
  <si>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</si>
  <si>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</si>
  <si>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</si>
  <si>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</si>
  <si>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</si>
  <si>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rolling maneuver (down-going wing)</t>
  </si>
  <si>
    <t>hard landing</t>
  </si>
  <si>
    <t>Motor Spec per Jackson</t>
  </si>
  <si>
    <t>CL_ground_attitude</t>
  </si>
  <si>
    <t>fty_al_6061_t6</t>
  </si>
  <si>
    <t>materials</t>
  </si>
  <si>
    <t>MPa</t>
  </si>
  <si>
    <t>fsu_al_6061_t6</t>
  </si>
  <si>
    <t>fbry_al_6061_t6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</si>
  <si>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</si>
  <si>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</si>
  <si>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</si>
  <si>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</si>
  <si>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</si>
  <si>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</si>
  <si>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</si>
  <si>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</si>
  <si>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</si>
  <si>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</si>
  <si>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</si>
  <si>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</si>
  <si>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</si>
  <si>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</si>
  <si>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</si>
  <si>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gear_strut_length</t>
  </si>
  <si>
    <t>Main gear strut VERTICAL HEIGHT - USED FOR DRAG AND GEAR PLACEMENT</t>
  </si>
  <si>
    <t>MAIN STRUT BEAM LENGTH - USED FOR STRESS MARGINS</t>
  </si>
  <si>
    <t>FROM MMPDS, AMS 4080 (DRAWN TUBE)</t>
  </si>
  <si>
    <t>FROM MMPDS</t>
  </si>
  <si>
    <t>fc_plywood</t>
  </si>
  <si>
    <t>tailcone_V</t>
  </si>
  <si>
    <t>MoS_spar_vm</t>
  </si>
  <si>
    <t>MoS_spar_shear</t>
  </si>
  <si>
    <t>MoS_tail_boom_vm</t>
  </si>
  <si>
    <t>MoS_tail_boom_shear</t>
  </si>
  <si>
    <t>MoS_fuselage_bend</t>
  </si>
  <si>
    <t>MoS_fuselage_shear</t>
  </si>
  <si>
    <t>MoS_gear_shear</t>
  </si>
  <si>
    <t>maneuver</t>
  </si>
  <si>
    <t>FROM https://www.metsagroup.com/globalassets/metsa-wood/dop-documents/dop_metsa_wood_birch_plywood_muf_2019-12-2_en.pdf</t>
  </si>
  <si>
    <t>sigma_bend_spar</t>
  </si>
  <si>
    <t>tau_shear_spar</t>
  </si>
  <si>
    <t>tau_torsion_spar</t>
  </si>
  <si>
    <t>sigma_vm_spar</t>
  </si>
  <si>
    <t>tau_spar_max</t>
  </si>
  <si>
    <t>sigma_bend_tail_boom</t>
  </si>
  <si>
    <t>tau_shear_tail_boom</t>
  </si>
  <si>
    <t>tau_torsion_tail_boom</t>
  </si>
  <si>
    <t>sigma_vm_tail_boom</t>
  </si>
  <si>
    <t>tau_tail_boom_max</t>
  </si>
  <si>
    <t>sigma_bend_fuselage</t>
  </si>
  <si>
    <t>tau_shear_fuselage</t>
  </si>
  <si>
    <t>tau_torsion_fuselage</t>
  </si>
  <si>
    <t>tau_combined_fuselage</t>
  </si>
  <si>
    <t>sigma_bend_gear</t>
  </si>
  <si>
    <t>sigma_comp_gear</t>
  </si>
  <si>
    <t>tau_gear</t>
  </si>
  <si>
    <t>fs_panel_plywood</t>
  </si>
  <si>
    <t>fs_planar_plywood</t>
  </si>
  <si>
    <t>Length that sticks out of fuselage</t>
  </si>
  <si>
    <t>bolt_OD</t>
  </si>
  <si>
    <t>T_static_actual</t>
  </si>
  <si>
    <t>MoS_gear_vm</t>
  </si>
  <si>
    <t>MoS_wing_joint</t>
  </si>
  <si>
    <t>MoS_boom_joint</t>
  </si>
  <si>
    <t>MoS_motor_mount</t>
  </si>
  <si>
    <t>MoS_gear_mount</t>
  </si>
  <si>
    <t>tail_def_angle</t>
  </si>
  <si>
    <t>tail_def</t>
  </si>
  <si>
    <t>wall_thick_tail_mount</t>
  </si>
  <si>
    <t>width_tail_mount</t>
  </si>
  <si>
    <t>MoS_tail_mount</t>
  </si>
  <si>
    <t>ftu_petg</t>
  </si>
  <si>
    <t>From UltiMaker</t>
  </si>
  <si>
    <t>Main Strut Diameter</t>
  </si>
  <si>
    <t>RPM_max</t>
  </si>
  <si>
    <t>throttle_settings</t>
  </si>
  <si>
    <t>[0.25 0.5 0.75 1]</t>
  </si>
  <si>
    <t>wing area</t>
  </si>
  <si>
    <t>k_dihedral</t>
  </si>
  <si>
    <t>W_S</t>
  </si>
  <si>
    <t>NaN</t>
  </si>
  <si>
    <t>Wing CL_max with dihedral knockdown</t>
  </si>
  <si>
    <t>Negative wing CL_max with dihedral knockdown</t>
  </si>
  <si>
    <t>Dihedral lift knockdown</t>
  </si>
  <si>
    <t>Wing loading, hardcoded wing area (Inputs sheet)</t>
  </si>
  <si>
    <t>Overwritten input (Sheet1 value: 1.43)</t>
  </si>
  <si>
    <t>Overwritten input (Sheet1 value: -0.66)</t>
  </si>
  <si>
    <t>PER3_11x7E.txt</t>
  </si>
  <si>
    <t>Written by writeOutputs.m on 2026-10-22 18:06</t>
  </si>
  <si>
    <t>Written by writeOutputs.m on 2026-10-22 21:05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</si>
</sst>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3">
    <numFmt numFmtId="164" formatCode="0.000"/>
    <numFmt numFmtId="165" formatCode="0.0000"/>
    <numFmt numFmtId="166" formatCode="0.0"/>
  </numFmts>
  <fonts count="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3"/>
        <bgColor theme="0" tint="-0.14999847407453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3"/>
        <bgColor indexed="64"/>
      </patternFill>
    </fill>
  </fills>
  <borders count="3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/>
  </borders>
  <cellStyleXfs count="2">
    <xf numFmtId="0" fontId="0" fillId="0" borderId="0"/>
    <xf numFmtId="0" fontId="1" fillId="0" borderId="0" applyNumberFormat="false" applyFill="false" applyBorder="false" applyProtection="false"/>
  </cellStyleXfs>
  <cellXfs count="32">
    <xf numFmtId="0" fontId="0" fillId="0" borderId="0" xfId="0"/>
    <xf numFmtId="0" fontId="2" fillId="0" borderId="0" xfId="1" applyFont="true"/>
    <xf numFmtId="0" fontId="1" fillId="0" borderId="0" xfId="1"/>
    <xf numFmtId="0" fontId="3" fillId="0" borderId="0" xfId="1" applyFont="true"/>
    <xf numFmtId="0" fontId="4" fillId="2" borderId="0" xfId="1" applyFont="true" applyFill="true"/>
    <xf numFmtId="164" fontId="1" fillId="0" borderId="0" xfId="1" applyNumberFormat="true"/>
    <xf numFmtId="165" fontId="1" fillId="0" borderId="0" xfId="1" applyNumberFormat="true"/>
    <xf numFmtId="166" fontId="1" fillId="0" borderId="0" xfId="1" applyNumberFormat="true"/>
    <xf numFmtId="166" fontId="5" fillId="3" borderId="0" xfId="1" applyNumberFormat="true" applyFont="true" applyFill="true"/>
    <xf numFmtId="164" fontId="5" fillId="3" borderId="0" xfId="1" applyNumberFormat="true" applyFont="true" applyFill="true"/>
    <xf numFmtId="165" fontId="5" fillId="4" borderId="0" xfId="1" applyNumberFormat="true" applyFont="true" applyFill="true"/>
    <xf numFmtId="0" fontId="6" fillId="0" borderId="0" xfId="1" applyFont="true"/>
    <xf numFmtId="165" fontId="6" fillId="4" borderId="0" xfId="1" applyNumberFormat="true" applyFont="true" applyFill="true"/>
    <xf numFmtId="2" fontId="6" fillId="4" borderId="0" xfId="1" applyNumberFormat="true" applyFont="true" applyFill="true"/>
    <xf numFmtId="0" fontId="5" fillId="3" borderId="0" xfId="1" applyFont="true" applyFill="true"/>
    <xf numFmtId="164" fontId="1" fillId="3" borderId="0" xfId="1" applyNumberFormat="true" applyFill="true"/>
    <xf numFmtId="166" fontId="5" fillId="5" borderId="0" xfId="1" applyNumberFormat="true" applyFont="true" applyFill="true"/>
    <xf numFmtId="2" fontId="5" fillId="5" borderId="0" xfId="1" applyNumberFormat="true" applyFont="true" applyFill="true"/>
    <xf numFmtId="0" fontId="7" fillId="0" borderId="0" xfId="0" applyFont="true"/>
    <xf numFmtId="0" fontId="7" fillId="0" borderId="0" xfId="0" applyFont="true" applyAlignment="true">
      <alignment horizontal="center"/>
    </xf>
    <xf numFmtId="0" fontId="0" fillId="0" borderId="0" xfId="0" applyAlignment="true">
      <alignment horizontal="center"/>
    </xf>
    <xf numFmtId="0" fontId="0" fillId="6" borderId="0" xfId="0" applyFill="true"/>
    <xf numFmtId="0" fontId="0" fillId="7" borderId="1" xfId="0" applyFill="true" applyBorder="true"/>
    <xf numFmtId="0" fontId="0" fillId="7" borderId="1" xfId="0" applyFill="true" applyBorder="true" applyAlignment="true">
      <alignment horizontal="center"/>
    </xf>
    <xf numFmtId="0" fontId="0" fillId="0" borderId="1" xfId="0" applyBorder="true"/>
    <xf numFmtId="0" fontId="0" fillId="0" borderId="1" xfId="0" applyBorder="true" applyAlignment="true">
      <alignment horizontal="center"/>
    </xf>
    <xf numFmtId="11" fontId="0" fillId="7" borderId="1" xfId="0" applyNumberFormat="true" applyFill="true" applyBorder="true" applyAlignment="true">
      <alignment horizontal="center"/>
    </xf>
    <xf numFmtId="0" fontId="0" fillId="8" borderId="0" xfId="0" applyFill="true" applyAlignment="true">
      <alignment horizontal="center"/>
    </xf>
    <xf numFmtId="0" fontId="0" fillId="9" borderId="0" xfId="0" applyFill="true" applyAlignment="true">
      <alignment horizontal="center"/>
    </xf>
    <xf numFmtId="1" fontId="0" fillId="7" borderId="1" xfId="0" applyNumberFormat="true" applyFill="true" applyBorder="true" applyAlignment="true">
      <alignment horizontal="center"/>
    </xf>
    <xf numFmtId="0" fontId="0" fillId="6" borderId="0" xfId="0" applyFill="true" applyAlignment="true">
      <alignment horizontal="center"/>
    </xf>
    <xf numFmtId="22" fontId="0" fillId="0" borderId="2" xfId="0" applyNumberFormat="true"/>
  </cellXfs>
  <cellStyles count="2">
    <cellStyle name="Normal" xfId="0" builtinId="0"/>
    <cellStyle name="Normal 2" xfId="1"/>
  </cellStyles>
  <dxfs count="3">
    <dxf>
      <alignment horizontal="center" vertical="bottom" textRotation="0" wrapText="false" indent="0" justifyLastLine="false" shrinkToFit="false" readingOrder="0"/>
    </dxf>
    <dxf>
      <alignment horizontal="center" vertical="bottom" textRotation="0" wrapText="false" indent="0" justifyLastLine="false" shrinkToFit="false" readingOrder="0"/>
    </dxf>
    <dxf>
      <alignment horizontal="center" vertical="bottom" textRotation="0" wrapText="false" indent="0" justifyLastLine="false" shrinkToFit="false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sharedStrings.xml" Type="http://schemas.openxmlformats.org/officeDocument/2006/relationships/sharedStrings" Id="rId8"/><Relationship Target="worksheets/sheet3.xml" Type="http://schemas.openxmlformats.org/officeDocument/2006/relationships/worksheet" Id="rId3"/><Relationship Target="styles.xml" Type="http://schemas.openxmlformats.org/officeDocument/2006/relationships/styles" Id="rId7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theme/theme1.xml" Type="http://schemas.openxmlformats.org/officeDocument/2006/relationships/theme" Id="rId6"/><Relationship Target="worksheets/sheet5.xml" Type="http://schemas.openxmlformats.org/officeDocument/2006/relationships/worksheet" Id="rId5"/><Relationship Target="worksheets/sheet4.xml" Type="http://schemas.openxmlformats.org/officeDocument/2006/relationships/worksheet" Id="rId4"/></Relationships>
</file>

<file path=xl/tables/table1.xml><?xml version="1.0" encoding="utf-8"?>
<table xmlns="http://schemas.openxmlformats.org/spreadsheetml/2006/main" xmlns:r="http://schemas.openxmlformats.org/officeDocument/2006/relationships" xmlns:xdr="http://schemas.openxmlformats.org/drawingml/2006/spreadsheetDrawing" id="1" name="Table1" displayName="Table1" ref="A1:F149" totalsRowShown="false">
  <autoFilter ref="A1:F149"/>
  <sortState ref="A2:E44">
    <sortCondition ref="B1:B103"/>
  </sortState>
  <tableColumns count="6">
    <tableColumn id="1" name="Parameter"/>
    <tableColumn id="2" name="Subclass" dataDxfId="2"/>
    <tableColumn id="3" name="Value" dataDxfId="1"/>
    <tableColumn id="4" name="Units" dataDxfId="0"/>
    <tableColumn id="5" name="Description"/>
    <tableColumn id="6" name="Notes"/>
  </tableColumns>
  <tableStyleInfo name="TableStyleMedium15" showFirstColumn="false" showLastColumn="false" showRowStripes="true" showColumnStripes="false"/>
</table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7"/>
  <sheetViews>
    <sheetView tabSelected="1" topLeftCell="A55" zoomScale="115" zoomScaleNormal="115" workbookViewId="0">
      <selection activeCell="C79" sqref="C79"/>
    </sheetView>
  </sheetViews>
  <sheetFormatPr defaultColWidth="8.7109375" defaultRowHeight="15" x14ac:dyDescent="0.25"/>
  <cols>
    <col min="1" max="1" width="20.7109375" bestFit="1" customWidth="1"/>
    <col min="2" max="2" width="15.140625" style="20" customWidth="1"/>
    <col min="3" max="3" width="13.7109375" style="20" customWidth="1"/>
    <col min="4" max="4" width="16.85546875" style="20" customWidth="1"/>
    <col min="5" max="5" width="168.140625" bestFit="1" customWidth="1"/>
    <col min="6" max="6" width="142.42578125" bestFit="1" customWidth="1"/>
  </cols>
  <sheetData>
    <row r="1" spans="1:6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25">
      <c r="A9" t="s">
        <v>202</v>
      </c>
      <c r="B9" s="20" t="s">
        <v>7</v>
      </c>
      <c r="C9" s="20">
        <v>-0.08</v>
      </c>
      <c r="D9" s="20" t="s">
        <v>8</v>
      </c>
    </row>
    <row r="10" spans="1:6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201</v>
      </c>
    </row>
    <row r="13" spans="1:6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25">
      <c r="A24" t="s">
        <v>323</v>
      </c>
      <c r="B24" s="20" t="s">
        <v>56</v>
      </c>
      <c r="C24" s="20">
        <v>0.44900000000000001</v>
      </c>
      <c r="D24" s="20" t="s">
        <v>66</v>
      </c>
      <c r="E24" t="s">
        <v>526</v>
      </c>
    </row>
    <row r="25" spans="1:5" x14ac:dyDescent="0.25">
      <c r="A25" t="s">
        <v>55</v>
      </c>
      <c r="B25" s="20" t="s">
        <v>56</v>
      </c>
      <c r="C25" s="20">
        <v>0.15</v>
      </c>
      <c r="D25" s="20" t="s">
        <v>8</v>
      </c>
      <c r="E25" t="s">
        <v>57</v>
      </c>
    </row>
    <row r="26" spans="1:5" x14ac:dyDescent="0.25">
      <c r="A26" t="s">
        <v>58</v>
      </c>
      <c r="B26" s="20" t="s">
        <v>56</v>
      </c>
      <c r="C26" s="20">
        <v>1.5</v>
      </c>
      <c r="D26" s="20" t="s">
        <v>59</v>
      </c>
      <c r="E26" t="s">
        <v>60</v>
      </c>
    </row>
    <row r="27" spans="1:5" x14ac:dyDescent="0.25">
      <c r="A27" t="s">
        <v>61</v>
      </c>
      <c r="B27" s="20" t="s">
        <v>56</v>
      </c>
      <c r="C27" s="20">
        <v>0.08</v>
      </c>
      <c r="D27" s="20" t="s">
        <v>59</v>
      </c>
      <c r="E27" t="s">
        <v>62</v>
      </c>
    </row>
    <row r="28" spans="1:5" x14ac:dyDescent="0.25">
      <c r="A28" t="s">
        <v>63</v>
      </c>
      <c r="B28" s="20" t="s">
        <v>56</v>
      </c>
      <c r="C28" s="20">
        <v>1</v>
      </c>
      <c r="D28" s="20" t="s">
        <v>59</v>
      </c>
      <c r="E28" t="s">
        <v>64</v>
      </c>
    </row>
    <row r="29" spans="1:5" x14ac:dyDescent="0.25">
      <c r="A29" t="s">
        <v>65</v>
      </c>
      <c r="B29" s="20" t="s">
        <v>56</v>
      </c>
      <c r="C29" s="20">
        <v>0.433</v>
      </c>
      <c r="D29" s="20" t="s">
        <v>66</v>
      </c>
      <c r="E29" t="s">
        <v>67</v>
      </c>
    </row>
    <row r="30" spans="1:5" x14ac:dyDescent="0.25">
      <c r="A30" t="s">
        <v>68</v>
      </c>
      <c r="B30" s="20" t="s">
        <v>56</v>
      </c>
      <c r="C30" s="20">
        <v>0.14000000000000001</v>
      </c>
      <c r="D30" s="20" t="s">
        <v>8</v>
      </c>
      <c r="E30" t="s">
        <v>69</v>
      </c>
    </row>
    <row r="31" spans="1:5" x14ac:dyDescent="0.25">
      <c r="A31" t="s">
        <v>70</v>
      </c>
      <c r="B31" s="20" t="s">
        <v>56</v>
      </c>
      <c r="C31" s="20">
        <v>0.255</v>
      </c>
      <c r="D31" s="20" t="s">
        <v>8</v>
      </c>
      <c r="E31" t="s">
        <v>71</v>
      </c>
    </row>
    <row r="32" spans="1:5" x14ac:dyDescent="0.25">
      <c r="A32" t="s">
        <v>72</v>
      </c>
      <c r="B32" s="20" t="s">
        <v>56</v>
      </c>
      <c r="C32" s="20">
        <v>0.1</v>
      </c>
      <c r="D32" s="20" t="s">
        <v>8</v>
      </c>
      <c r="E32" t="s">
        <v>73</v>
      </c>
    </row>
    <row r="33" spans="1:5" x14ac:dyDescent="0.25">
      <c r="A33" t="s">
        <v>74</v>
      </c>
      <c r="B33" s="20" t="s">
        <v>56</v>
      </c>
      <c r="C33" s="20">
        <v>0.3</v>
      </c>
      <c r="D33" s="20" t="s">
        <v>8</v>
      </c>
      <c r="E33" t="s">
        <v>75</v>
      </c>
    </row>
    <row r="34" spans="1:5" x14ac:dyDescent="0.25">
      <c r="A34" t="s">
        <v>76</v>
      </c>
      <c r="B34" s="20" t="s">
        <v>56</v>
      </c>
      <c r="C34" s="20">
        <v>2.5</v>
      </c>
      <c r="D34" s="20" t="s">
        <v>8</v>
      </c>
      <c r="E34" t="s">
        <v>77</v>
      </c>
    </row>
    <row r="35" spans="1:5" x14ac:dyDescent="0.25">
      <c r="A35" t="s">
        <v>78</v>
      </c>
      <c r="B35" s="20" t="s">
        <v>56</v>
      </c>
      <c r="C35" s="20">
        <v>1.07</v>
      </c>
      <c r="D35" s="20" t="s">
        <v>8</v>
      </c>
      <c r="E35" t="s">
        <v>79</v>
      </c>
    </row>
    <row r="36" spans="1:5" x14ac:dyDescent="0.25">
      <c r="A36" t="s">
        <v>80</v>
      </c>
      <c r="B36" s="20" t="s">
        <v>56</v>
      </c>
      <c r="C36" s="20">
        <v>0.1</v>
      </c>
      <c r="D36" s="20" t="s">
        <v>8</v>
      </c>
      <c r="E36" t="s">
        <v>81</v>
      </c>
    </row>
    <row r="37" spans="1:5" x14ac:dyDescent="0.25">
      <c r="A37" t="s">
        <v>82</v>
      </c>
      <c r="B37" s="20" t="s">
        <v>56</v>
      </c>
      <c r="C37" s="20">
        <v>0.3</v>
      </c>
      <c r="D37" s="20" t="s">
        <v>8</v>
      </c>
      <c r="E37" t="s">
        <v>83</v>
      </c>
    </row>
    <row r="38" spans="1:5" x14ac:dyDescent="0.25">
      <c r="A38" t="s">
        <v>84</v>
      </c>
      <c r="B38" s="20" t="s">
        <v>56</v>
      </c>
      <c r="C38" s="20">
        <v>8.3000000000000004E-2</v>
      </c>
      <c r="D38" s="20" t="s">
        <v>59</v>
      </c>
      <c r="E38" t="s">
        <v>85</v>
      </c>
    </row>
    <row r="39" spans="1:5" x14ac:dyDescent="0.25">
      <c r="A39" t="s">
        <v>86</v>
      </c>
      <c r="B39" s="20" t="s">
        <v>56</v>
      </c>
      <c r="C39" s="20">
        <v>4.7E-2</v>
      </c>
      <c r="D39" s="20" t="s">
        <v>59</v>
      </c>
      <c r="E39" t="s">
        <v>87</v>
      </c>
    </row>
    <row r="40" spans="1:5" x14ac:dyDescent="0.25">
      <c r="A40" t="s">
        <v>88</v>
      </c>
      <c r="B40" s="20" t="s">
        <v>56</v>
      </c>
      <c r="C40" s="20">
        <v>0.1043</v>
      </c>
      <c r="D40" s="20" t="s">
        <v>59</v>
      </c>
      <c r="E40" t="s">
        <v>473</v>
      </c>
    </row>
    <row r="41" spans="1:5" x14ac:dyDescent="0.25">
      <c r="A41" t="s">
        <v>89</v>
      </c>
      <c r="B41" s="20" t="s">
        <v>56</v>
      </c>
      <c r="C41" s="20">
        <v>6.3499999999999997E-3</v>
      </c>
      <c r="D41" s="20" t="s">
        <v>59</v>
      </c>
      <c r="E41" t="s">
        <v>522</v>
      </c>
    </row>
    <row r="42" spans="1:5" x14ac:dyDescent="0.25">
      <c r="A42" t="s">
        <v>90</v>
      </c>
      <c r="B42" s="20" t="s">
        <v>56</v>
      </c>
      <c r="C42" s="20">
        <v>0.03</v>
      </c>
      <c r="D42" s="20" t="s">
        <v>59</v>
      </c>
      <c r="E42" t="s">
        <v>91</v>
      </c>
    </row>
    <row r="43" spans="1:5" x14ac:dyDescent="0.25">
      <c r="A43" t="s">
        <v>92</v>
      </c>
      <c r="B43" s="20" t="s">
        <v>56</v>
      </c>
      <c r="C43" s="20">
        <v>0.01</v>
      </c>
      <c r="D43" s="20" t="s">
        <v>59</v>
      </c>
      <c r="E43" t="s">
        <v>93</v>
      </c>
    </row>
    <row r="44" spans="1:5" x14ac:dyDescent="0.25">
      <c r="A44" t="s">
        <v>94</v>
      </c>
      <c r="B44" s="20" t="s">
        <v>56</v>
      </c>
      <c r="C44" s="20">
        <v>6.3E-2</v>
      </c>
      <c r="D44" s="20" t="s">
        <v>59</v>
      </c>
      <c r="E44" t="s">
        <v>95</v>
      </c>
    </row>
    <row r="45" spans="1:5" x14ac:dyDescent="0.25">
      <c r="A45" t="s">
        <v>96</v>
      </c>
      <c r="B45" s="20" t="s">
        <v>56</v>
      </c>
      <c r="C45" s="20">
        <v>2.5000000000000001E-3</v>
      </c>
      <c r="D45" s="20" t="s">
        <v>59</v>
      </c>
      <c r="E45" t="s">
        <v>97</v>
      </c>
    </row>
    <row r="46" spans="1:5" x14ac:dyDescent="0.25">
      <c r="A46" t="s">
        <v>98</v>
      </c>
      <c r="B46" s="20" t="s">
        <v>56</v>
      </c>
      <c r="C46" s="20">
        <v>0.08</v>
      </c>
      <c r="D46" s="20" t="s">
        <v>99</v>
      </c>
      <c r="E46" t="s">
        <v>100</v>
      </c>
    </row>
    <row r="47" spans="1:5" x14ac:dyDescent="0.25">
      <c r="A47" t="s">
        <v>101</v>
      </c>
      <c r="B47" s="20" t="s">
        <v>56</v>
      </c>
      <c r="C47" s="20">
        <v>0.1</v>
      </c>
      <c r="D47" s="20" t="s">
        <v>59</v>
      </c>
      <c r="E47" t="s">
        <v>102</v>
      </c>
    </row>
    <row r="48" spans="1:5" x14ac:dyDescent="0.25">
      <c r="A48" t="s">
        <v>103</v>
      </c>
      <c r="B48" s="20" t="s">
        <v>56</v>
      </c>
      <c r="C48" s="20">
        <v>0.04</v>
      </c>
      <c r="D48" s="20" t="s">
        <v>59</v>
      </c>
      <c r="E48" t="s">
        <v>104</v>
      </c>
    </row>
    <row r="49" spans="1:5" x14ac:dyDescent="0.25">
      <c r="A49" t="s">
        <v>105</v>
      </c>
      <c r="B49" s="20" t="s">
        <v>56</v>
      </c>
      <c r="C49" s="20">
        <v>0.25</v>
      </c>
      <c r="D49" s="20" t="s">
        <v>8</v>
      </c>
      <c r="E49" t="s">
        <v>106</v>
      </c>
    </row>
    <row r="50" spans="1:5" x14ac:dyDescent="0.25">
      <c r="A50" t="s">
        <v>107</v>
      </c>
      <c r="B50" s="20" t="s">
        <v>56</v>
      </c>
      <c r="C50" s="20">
        <v>0.8</v>
      </c>
      <c r="D50" s="20" t="s">
        <v>59</v>
      </c>
      <c r="E50" t="s">
        <v>108</v>
      </c>
    </row>
    <row r="51" spans="1:5" x14ac:dyDescent="0.25">
      <c r="A51" t="s">
        <v>109</v>
      </c>
      <c r="B51" s="20" t="s">
        <v>56</v>
      </c>
      <c r="C51" s="20">
        <v>0.17</v>
      </c>
      <c r="D51" s="20" t="s">
        <v>8</v>
      </c>
      <c r="E51" t="s">
        <v>110</v>
      </c>
    </row>
    <row r="52" spans="1:5" x14ac:dyDescent="0.25">
      <c r="A52" t="s">
        <v>111</v>
      </c>
      <c r="B52" s="20" t="s">
        <v>56</v>
      </c>
      <c r="C52" s="20">
        <v>2</v>
      </c>
      <c r="D52" s="20" t="s">
        <v>8</v>
      </c>
      <c r="E52" t="s">
        <v>112</v>
      </c>
    </row>
    <row r="53" spans="1:5" x14ac:dyDescent="0.25">
      <c r="A53" t="s">
        <v>113</v>
      </c>
      <c r="B53" s="20" t="s">
        <v>56</v>
      </c>
      <c r="C53" s="20">
        <v>1</v>
      </c>
      <c r="D53" s="20" t="s">
        <v>8</v>
      </c>
      <c r="E53" t="s">
        <v>114</v>
      </c>
    </row>
    <row r="54" spans="1:5" x14ac:dyDescent="0.25">
      <c r="A54" t="s">
        <v>115</v>
      </c>
      <c r="B54" s="20" t="s">
        <v>56</v>
      </c>
      <c r="C54" s="20">
        <v>0.3</v>
      </c>
      <c r="D54" s="20" t="s">
        <v>8</v>
      </c>
      <c r="E54" t="s">
        <v>116</v>
      </c>
    </row>
    <row r="55" spans="1:5" x14ac:dyDescent="0.25">
      <c r="A55" t="s">
        <v>117</v>
      </c>
      <c r="B55" s="20" t="s">
        <v>56</v>
      </c>
      <c r="C55" s="20">
        <v>30</v>
      </c>
      <c r="D55" s="20" t="s">
        <v>23</v>
      </c>
      <c r="E55" t="s">
        <v>118</v>
      </c>
    </row>
    <row r="56" spans="1:5" x14ac:dyDescent="0.25">
      <c r="A56" t="s">
        <v>119</v>
      </c>
      <c r="B56" s="20" t="s">
        <v>56</v>
      </c>
      <c r="C56" s="20">
        <v>0.3</v>
      </c>
      <c r="D56" s="20" t="s">
        <v>8</v>
      </c>
      <c r="E56" t="s">
        <v>120</v>
      </c>
    </row>
    <row r="57" spans="1:5" x14ac:dyDescent="0.25">
      <c r="A57" t="s">
        <v>121</v>
      </c>
      <c r="B57" s="20" t="s">
        <v>56</v>
      </c>
      <c r="C57" s="20">
        <v>30</v>
      </c>
      <c r="D57" s="20" t="s">
        <v>23</v>
      </c>
      <c r="E57" t="s">
        <v>122</v>
      </c>
    </row>
    <row r="58" spans="1:5" x14ac:dyDescent="0.25">
      <c r="A58" t="s">
        <v>123</v>
      </c>
      <c r="B58" s="20" t="s">
        <v>56</v>
      </c>
      <c r="C58" s="20">
        <v>0.25</v>
      </c>
      <c r="D58" s="20" t="s">
        <v>8</v>
      </c>
      <c r="E58" t="s">
        <v>124</v>
      </c>
    </row>
    <row r="59" spans="1:5" x14ac:dyDescent="0.25">
      <c r="A59" t="s">
        <v>125</v>
      </c>
      <c r="B59" s="20" t="s">
        <v>56</v>
      </c>
      <c r="C59" s="20">
        <v>0.7</v>
      </c>
      <c r="D59" s="20" t="s">
        <v>8</v>
      </c>
      <c r="E59" t="s">
        <v>126</v>
      </c>
    </row>
    <row r="60" spans="1:5" x14ac:dyDescent="0.25">
      <c r="A60" t="s">
        <v>127</v>
      </c>
      <c r="B60" s="20" t="s">
        <v>56</v>
      </c>
      <c r="C60" s="20">
        <v>1</v>
      </c>
      <c r="D60" s="20" t="s">
        <v>8</v>
      </c>
      <c r="E60" t="s">
        <v>128</v>
      </c>
    </row>
    <row r="61" spans="1:5" x14ac:dyDescent="0.25">
      <c r="A61" t="s">
        <v>129</v>
      </c>
      <c r="B61" s="20" t="s">
        <v>56</v>
      </c>
      <c r="C61" s="20">
        <v>15</v>
      </c>
      <c r="D61" s="20" t="s">
        <v>23</v>
      </c>
      <c r="E61" t="s">
        <v>130</v>
      </c>
    </row>
    <row r="62" spans="1:5" x14ac:dyDescent="0.25">
      <c r="A62" t="s">
        <v>131</v>
      </c>
      <c r="B62" s="20" t="s">
        <v>56</v>
      </c>
      <c r="C62" s="20">
        <v>5</v>
      </c>
      <c r="D62" s="20" t="s">
        <v>23</v>
      </c>
      <c r="E62" t="s">
        <v>132</v>
      </c>
    </row>
    <row r="63" spans="1:5" x14ac:dyDescent="0.25">
      <c r="A63" t="s">
        <v>133</v>
      </c>
      <c r="B63" s="20" t="s">
        <v>134</v>
      </c>
      <c r="C63" s="20">
        <v>10</v>
      </c>
      <c r="D63" s="20" t="s">
        <v>135</v>
      </c>
      <c r="E63" t="s">
        <v>136</v>
      </c>
    </row>
    <row r="64" spans="1:5" x14ac:dyDescent="0.25">
      <c r="A64" t="s">
        <v>137</v>
      </c>
      <c r="B64" s="20" t="s">
        <v>134</v>
      </c>
      <c r="C64" s="20">
        <v>1.1000000000000001</v>
      </c>
      <c r="D64" s="20" t="s">
        <v>8</v>
      </c>
      <c r="E64" t="s">
        <v>138</v>
      </c>
    </row>
    <row r="65" spans="1:5" x14ac:dyDescent="0.25">
      <c r="A65" t="s">
        <v>139</v>
      </c>
      <c r="B65" s="20" t="s">
        <v>134</v>
      </c>
      <c r="C65" s="20">
        <v>0.75</v>
      </c>
      <c r="D65" s="20" t="s">
        <v>8</v>
      </c>
      <c r="E65" t="s">
        <v>140</v>
      </c>
    </row>
    <row r="66" spans="1:5" x14ac:dyDescent="0.25">
      <c r="A66" t="s">
        <v>141</v>
      </c>
      <c r="B66" s="20" t="s">
        <v>134</v>
      </c>
      <c r="C66" s="20">
        <v>1.5</v>
      </c>
      <c r="D66" s="20" t="s">
        <v>8</v>
      </c>
      <c r="E66" t="s">
        <v>142</v>
      </c>
    </row>
    <row r="67" spans="1:5" x14ac:dyDescent="0.25">
      <c r="A67" t="s">
        <v>143</v>
      </c>
      <c r="B67" s="20" t="s">
        <v>134</v>
      </c>
      <c r="C67" s="20">
        <v>20</v>
      </c>
      <c r="D67" s="20" t="s">
        <v>59</v>
      </c>
      <c r="E67" t="s">
        <v>198</v>
      </c>
    </row>
    <row r="68" spans="1:5" x14ac:dyDescent="0.25">
      <c r="A68" t="s">
        <v>199</v>
      </c>
      <c r="B68" s="20" t="s">
        <v>134</v>
      </c>
      <c r="C68" s="20">
        <v>50</v>
      </c>
      <c r="D68" s="20" t="s">
        <v>59</v>
      </c>
      <c r="E68" t="s">
        <v>200</v>
      </c>
    </row>
    <row r="69" spans="1:5" x14ac:dyDescent="0.25">
      <c r="A69" t="s">
        <v>144</v>
      </c>
      <c r="B69" s="20" t="s">
        <v>134</v>
      </c>
      <c r="C69" s="20">
        <v>30</v>
      </c>
      <c r="D69" s="20" t="s">
        <v>59</v>
      </c>
      <c r="E69" t="s">
        <v>145</v>
      </c>
    </row>
    <row r="70" spans="1:5" x14ac:dyDescent="0.25">
      <c r="A70" t="s">
        <v>146</v>
      </c>
      <c r="B70" s="20" t="s">
        <v>134</v>
      </c>
      <c r="C70" s="20">
        <v>100</v>
      </c>
      <c r="D70" s="20" t="s">
        <v>59</v>
      </c>
      <c r="E70" t="s">
        <v>147</v>
      </c>
    </row>
    <row r="71" spans="1:5" x14ac:dyDescent="0.25">
      <c r="A71" t="s">
        <v>148</v>
      </c>
      <c r="B71" s="20" t="s">
        <v>134</v>
      </c>
      <c r="C71" s="20">
        <v>25</v>
      </c>
      <c r="D71" s="20" t="s">
        <v>59</v>
      </c>
      <c r="E71" t="s">
        <v>149</v>
      </c>
    </row>
    <row r="72" spans="1:5" x14ac:dyDescent="0.25">
      <c r="A72" t="s">
        <v>150</v>
      </c>
      <c r="B72" s="20" t="s">
        <v>134</v>
      </c>
      <c r="C72" s="20">
        <v>200</v>
      </c>
      <c r="D72" s="20" t="s">
        <v>59</v>
      </c>
      <c r="E72" t="s">
        <v>151</v>
      </c>
    </row>
    <row r="73" spans="1:5" x14ac:dyDescent="0.25">
      <c r="A73" t="s">
        <v>152</v>
      </c>
      <c r="B73" s="20" t="s">
        <v>134</v>
      </c>
      <c r="C73" s="20">
        <v>95</v>
      </c>
      <c r="D73" s="20" t="s">
        <v>153</v>
      </c>
      <c r="E73" t="s">
        <v>154</v>
      </c>
    </row>
    <row r="74" spans="1:5" x14ac:dyDescent="0.25">
      <c r="A74" t="s">
        <v>155</v>
      </c>
      <c r="B74" s="20" t="s">
        <v>134</v>
      </c>
      <c r="C74" s="20">
        <v>7.0000000000000007E-2</v>
      </c>
      <c r="D74" s="20" t="s">
        <v>156</v>
      </c>
      <c r="E74" t="s">
        <v>157</v>
      </c>
    </row>
    <row r="75" spans="1:5" x14ac:dyDescent="0.25">
      <c r="A75" t="s">
        <v>158</v>
      </c>
      <c r="B75" s="20" t="s">
        <v>134</v>
      </c>
      <c r="C75" s="20">
        <v>0.8</v>
      </c>
      <c r="D75" s="20" t="s">
        <v>8</v>
      </c>
      <c r="E75" t="s">
        <v>159</v>
      </c>
    </row>
    <row r="76" spans="1:5" x14ac:dyDescent="0.25">
      <c r="A76" t="s">
        <v>160</v>
      </c>
      <c r="B76" s="20" t="s">
        <v>134</v>
      </c>
      <c r="C76" s="20">
        <v>0.52</v>
      </c>
      <c r="D76" s="20" t="s">
        <v>161</v>
      </c>
      <c r="E76" t="s">
        <v>162</v>
      </c>
    </row>
    <row r="77" spans="1:5" x14ac:dyDescent="0.25">
      <c r="A77" t="s">
        <v>163</v>
      </c>
      <c r="B77" s="20" t="s">
        <v>134</v>
      </c>
      <c r="C77" s="20">
        <v>10</v>
      </c>
      <c r="D77" s="20" t="s">
        <v>8</v>
      </c>
      <c r="E77" t="s">
        <v>164</v>
      </c>
    </row>
    <row r="78" spans="1:5" x14ac:dyDescent="0.25">
      <c r="A78" t="s">
        <v>165</v>
      </c>
      <c r="B78" s="20" t="s">
        <v>134</v>
      </c>
      <c r="C78" s="20">
        <v>3.45</v>
      </c>
      <c r="D78" s="20" t="s">
        <v>161</v>
      </c>
      <c r="E78" t="s">
        <v>166</v>
      </c>
    </row>
    <row r="79" spans="1:5" x14ac:dyDescent="0.25">
      <c r="A79" t="s">
        <v>167</v>
      </c>
      <c r="B79" s="20" t="s">
        <v>168</v>
      </c>
      <c r="C79" s="20">
        <v>0.75</v>
      </c>
      <c r="D79" s="20" t="s">
        <v>8</v>
      </c>
      <c r="E79" t="s">
        <v>169</v>
      </c>
    </row>
    <row r="80" spans="1:5" x14ac:dyDescent="0.25">
      <c r="A80" t="s">
        <v>170</v>
      </c>
      <c r="B80" s="20" t="s">
        <v>168</v>
      </c>
      <c r="C80" s="20">
        <v>0.45</v>
      </c>
      <c r="D80" s="20" t="s">
        <v>8</v>
      </c>
      <c r="E80" t="s">
        <v>171</v>
      </c>
    </row>
    <row r="81" spans="1:5" x14ac:dyDescent="0.25">
      <c r="A81" t="s">
        <v>172</v>
      </c>
      <c r="B81" s="20" t="s">
        <v>168</v>
      </c>
      <c r="C81" s="20">
        <v>1</v>
      </c>
      <c r="D81" s="20" t="s">
        <v>8</v>
      </c>
      <c r="E81" t="s">
        <v>173</v>
      </c>
    </row>
    <row r="82" spans="1:5" x14ac:dyDescent="0.25">
      <c r="A82" t="s">
        <v>174</v>
      </c>
      <c r="B82" s="20" t="s">
        <v>168</v>
      </c>
      <c r="C82" s="20">
        <v>0.75</v>
      </c>
      <c r="D82" s="20" t="s">
        <v>8</v>
      </c>
      <c r="E82" t="s">
        <v>175</v>
      </c>
    </row>
    <row r="83" spans="1:5" x14ac:dyDescent="0.25">
      <c r="A83" t="s">
        <v>176</v>
      </c>
      <c r="B83" s="20" t="s">
        <v>168</v>
      </c>
      <c r="C83" s="20">
        <v>0.95</v>
      </c>
      <c r="D83" s="20" t="s">
        <v>8</v>
      </c>
      <c r="E83" t="s">
        <v>177</v>
      </c>
    </row>
    <row r="84" spans="1:5" x14ac:dyDescent="0.25">
      <c r="A84" t="s">
        <v>178</v>
      </c>
      <c r="B84" s="20" t="s">
        <v>168</v>
      </c>
      <c r="C84" s="20">
        <v>820</v>
      </c>
      <c r="D84" s="20" t="s">
        <v>179</v>
      </c>
      <c r="E84" t="s">
        <v>180</v>
      </c>
    </row>
    <row r="85" spans="1:5" x14ac:dyDescent="0.25">
      <c r="A85" t="s">
        <v>181</v>
      </c>
      <c r="B85" s="20" t="s">
        <v>168</v>
      </c>
      <c r="C85" s="20">
        <v>1.45</v>
      </c>
      <c r="D85" s="20" t="s">
        <v>182</v>
      </c>
      <c r="E85" t="s">
        <v>183</v>
      </c>
    </row>
    <row r="86" spans="1:5" x14ac:dyDescent="0.25">
      <c r="A86" t="s">
        <v>184</v>
      </c>
      <c r="B86" s="20" t="s">
        <v>168</v>
      </c>
      <c r="C86" s="20">
        <v>2.5999999999999999E-2</v>
      </c>
      <c r="D86" s="20" t="s">
        <v>185</v>
      </c>
      <c r="E86" t="s">
        <v>186</v>
      </c>
    </row>
    <row r="87" spans="1:5" x14ac:dyDescent="0.25">
      <c r="A87" t="s">
        <v>187</v>
      </c>
      <c r="B87" s="20" t="s">
        <v>168</v>
      </c>
      <c r="C87" s="20">
        <v>14.8</v>
      </c>
      <c r="D87" s="20" t="s">
        <v>188</v>
      </c>
      <c r="E87" t="s">
        <v>203</v>
      </c>
    </row>
    <row r="88" spans="1:5" x14ac:dyDescent="0.25">
      <c r="A88" t="s">
        <v>189</v>
      </c>
      <c r="B88" s="20" t="s">
        <v>168</v>
      </c>
      <c r="C88" s="20" t="s">
        <v>536</v>
      </c>
      <c r="D88" s="20" t="s">
        <v>8</v>
      </c>
      <c r="E88" t="s">
        <v>190</v>
      </c>
    </row>
    <row r="89" spans="1:5" x14ac:dyDescent="0.25">
      <c r="A89" t="s">
        <v>191</v>
      </c>
      <c r="B89" s="20" t="s">
        <v>168</v>
      </c>
      <c r="C89" s="20">
        <v>527000</v>
      </c>
      <c r="D89" s="20" t="s">
        <v>192</v>
      </c>
      <c r="E89" t="s">
        <v>193</v>
      </c>
    </row>
    <row r="90" spans="1:5" x14ac:dyDescent="0.25">
      <c r="A90" t="s">
        <v>194</v>
      </c>
      <c r="B90" s="20" t="s">
        <v>168</v>
      </c>
      <c r="C90" s="20">
        <v>0.8</v>
      </c>
      <c r="D90" s="20" t="s">
        <v>8</v>
      </c>
      <c r="E90" t="s">
        <v>195</v>
      </c>
    </row>
    <row r="91" spans="1:5" x14ac:dyDescent="0.25">
      <c r="A91" t="s">
        <v>196</v>
      </c>
      <c r="B91" s="20" t="s">
        <v>168</v>
      </c>
      <c r="C91" s="20">
        <v>0.7</v>
      </c>
      <c r="D91" s="20" t="s">
        <v>8</v>
      </c>
      <c r="E91" t="s">
        <v>197</v>
      </c>
    </row>
    <row r="92" spans="1:5" x14ac:dyDescent="0.25">
      <c r="A92" t="s">
        <v>509</v>
      </c>
      <c r="B92" s="20" t="s">
        <v>168</v>
      </c>
      <c r="C92" s="20">
        <f>2.085*9.81</f>
        <v>20.453849999999999</v>
      </c>
      <c r="D92" s="20" t="s">
        <v>344</v>
      </c>
    </row>
    <row r="93" spans="1:5" x14ac:dyDescent="0.25">
      <c r="A93" t="s">
        <v>245</v>
      </c>
      <c r="B93" s="20" t="s">
        <v>246</v>
      </c>
      <c r="C93" s="20">
        <v>1</v>
      </c>
      <c r="D93" s="20" t="s">
        <v>8</v>
      </c>
      <c r="E93" t="s">
        <v>247</v>
      </c>
    </row>
    <row r="94" spans="1:5" x14ac:dyDescent="0.25">
      <c r="A94" t="s">
        <v>248</v>
      </c>
      <c r="B94" s="20" t="s">
        <v>246</v>
      </c>
      <c r="C94" s="20">
        <v>1.2</v>
      </c>
      <c r="D94" s="20" t="s">
        <v>8</v>
      </c>
      <c r="E94" t="s">
        <v>249</v>
      </c>
    </row>
    <row r="95" spans="1:5" x14ac:dyDescent="0.25">
      <c r="A95" t="s">
        <v>250</v>
      </c>
      <c r="B95" s="20" t="s">
        <v>246</v>
      </c>
      <c r="C95" s="20">
        <v>1</v>
      </c>
      <c r="D95" s="20" t="s">
        <v>8</v>
      </c>
      <c r="E95" t="s">
        <v>251</v>
      </c>
    </row>
    <row r="96" spans="1:5" x14ac:dyDescent="0.25">
      <c r="A96" t="s">
        <v>252</v>
      </c>
      <c r="B96" s="20" t="s">
        <v>246</v>
      </c>
      <c r="C96" s="20">
        <v>0.85</v>
      </c>
      <c r="D96" s="20" t="s">
        <v>8</v>
      </c>
      <c r="E96" t="s">
        <v>253</v>
      </c>
    </row>
    <row r="97" spans="1:5" x14ac:dyDescent="0.25">
      <c r="A97" t="s">
        <v>258</v>
      </c>
      <c r="B97" s="20" t="s">
        <v>246</v>
      </c>
      <c r="C97" s="20">
        <v>5.5</v>
      </c>
      <c r="D97" s="20" t="s">
        <v>188</v>
      </c>
      <c r="E97" t="s">
        <v>259</v>
      </c>
    </row>
    <row r="98" spans="1:5" x14ac:dyDescent="0.25">
      <c r="A98" t="s">
        <v>260</v>
      </c>
      <c r="B98" s="20" t="s">
        <v>7</v>
      </c>
      <c r="C98" s="20">
        <v>-0.66</v>
      </c>
      <c r="D98" s="20" t="s">
        <v>8</v>
      </c>
      <c r="E98" t="s">
        <v>292</v>
      </c>
    </row>
    <row r="99" spans="1:5" x14ac:dyDescent="0.25">
      <c r="A99" t="s">
        <v>261</v>
      </c>
      <c r="B99" s="27" t="s">
        <v>262</v>
      </c>
      <c r="C99" s="27">
        <v>0.25</v>
      </c>
      <c r="D99" s="20" t="s">
        <v>8</v>
      </c>
      <c r="E99" t="s">
        <v>293</v>
      </c>
    </row>
    <row r="100" spans="1:5" x14ac:dyDescent="0.25">
      <c r="A100" t="s">
        <v>263</v>
      </c>
      <c r="B100" s="20" t="s">
        <v>262</v>
      </c>
      <c r="C100" s="20">
        <v>1</v>
      </c>
      <c r="D100" s="20" t="s">
        <v>8</v>
      </c>
      <c r="E100" t="s">
        <v>294</v>
      </c>
    </row>
    <row r="101" spans="1:5" x14ac:dyDescent="0.25">
      <c r="A101" t="s">
        <v>264</v>
      </c>
      <c r="B101" s="20" t="s">
        <v>262</v>
      </c>
      <c r="C101" s="20">
        <v>1</v>
      </c>
      <c r="D101" s="20" t="s">
        <v>8</v>
      </c>
      <c r="E101" t="s">
        <v>295</v>
      </c>
    </row>
    <row r="102" spans="1:5" x14ac:dyDescent="0.25">
      <c r="A102" t="s">
        <v>265</v>
      </c>
      <c r="B102" s="20" t="s">
        <v>262</v>
      </c>
      <c r="C102" s="20">
        <v>1</v>
      </c>
      <c r="D102" s="20" t="s">
        <v>8</v>
      </c>
      <c r="E102" t="s">
        <v>296</v>
      </c>
    </row>
    <row r="103" spans="1:5" x14ac:dyDescent="0.25">
      <c r="A103" t="s">
        <v>266</v>
      </c>
      <c r="B103" s="27" t="s">
        <v>262</v>
      </c>
      <c r="C103" s="27">
        <v>1.2699999999999999E-2</v>
      </c>
      <c r="D103" s="20" t="s">
        <v>59</v>
      </c>
      <c r="E103" t="s">
        <v>297</v>
      </c>
    </row>
    <row r="104" spans="1:5" x14ac:dyDescent="0.25">
      <c r="A104" t="s">
        <v>267</v>
      </c>
      <c r="B104" s="28" t="s">
        <v>262</v>
      </c>
      <c r="C104" s="28">
        <v>0.29499999999999998</v>
      </c>
      <c r="D104" s="20" t="s">
        <v>59</v>
      </c>
      <c r="E104" t="s">
        <v>298</v>
      </c>
    </row>
    <row r="105" spans="1:5" x14ac:dyDescent="0.25">
      <c r="A105" t="s">
        <v>268</v>
      </c>
      <c r="B105" s="20" t="s">
        <v>262</v>
      </c>
      <c r="C105" s="20">
        <v>1</v>
      </c>
      <c r="D105" s="20" t="s">
        <v>135</v>
      </c>
      <c r="E105" t="s">
        <v>299</v>
      </c>
    </row>
    <row r="106" spans="1:5" x14ac:dyDescent="0.25">
      <c r="A106" t="s">
        <v>269</v>
      </c>
      <c r="B106" s="30" t="s">
        <v>262</v>
      </c>
      <c r="C106" s="30">
        <v>35000</v>
      </c>
      <c r="D106" s="20" t="s">
        <v>270</v>
      </c>
      <c r="E106" t="s">
        <v>310</v>
      </c>
    </row>
    <row r="107" spans="1:5" x14ac:dyDescent="0.25">
      <c r="A107" t="s">
        <v>302</v>
      </c>
      <c r="B107" s="27" t="s">
        <v>262</v>
      </c>
      <c r="C107" s="27">
        <v>0.34599999999999997</v>
      </c>
      <c r="D107" s="20" t="s">
        <v>59</v>
      </c>
      <c r="E107" t="s">
        <v>303</v>
      </c>
    </row>
    <row r="108" spans="1:5" x14ac:dyDescent="0.25">
      <c r="A108" t="s">
        <v>304</v>
      </c>
      <c r="B108" s="20" t="s">
        <v>134</v>
      </c>
      <c r="C108" s="20">
        <v>1000</v>
      </c>
      <c r="D108" s="20" t="s">
        <v>308</v>
      </c>
      <c r="E108" t="s">
        <v>309</v>
      </c>
    </row>
    <row r="109" spans="1:5" x14ac:dyDescent="0.25">
      <c r="A109" t="s">
        <v>305</v>
      </c>
      <c r="B109" s="20" t="s">
        <v>168</v>
      </c>
      <c r="C109" s="20">
        <v>890</v>
      </c>
      <c r="D109" s="20" t="s">
        <v>308</v>
      </c>
      <c r="E109" t="s">
        <v>450</v>
      </c>
    </row>
    <row r="110" spans="1:5" x14ac:dyDescent="0.25">
      <c r="A110" t="s">
        <v>306</v>
      </c>
      <c r="B110" s="20" t="s">
        <v>168</v>
      </c>
      <c r="C110" s="20">
        <v>60</v>
      </c>
      <c r="D110" s="20" t="s">
        <v>182</v>
      </c>
      <c r="E110" t="s">
        <v>450</v>
      </c>
    </row>
    <row r="111" spans="1:5" x14ac:dyDescent="0.25">
      <c r="A111" t="s">
        <v>307</v>
      </c>
      <c r="B111" s="20" t="s">
        <v>134</v>
      </c>
      <c r="C111" s="20">
        <v>11.941543440928031</v>
      </c>
      <c r="D111" s="20" t="s">
        <v>135</v>
      </c>
      <c r="E111" t="s">
        <v>311</v>
      </c>
    </row>
    <row r="112" spans="1:5" x14ac:dyDescent="0.25">
      <c r="A112" s="22" t="s">
        <v>452</v>
      </c>
      <c r="B112" s="23" t="s">
        <v>453</v>
      </c>
      <c r="C112" s="23">
        <v>241</v>
      </c>
      <c r="D112" s="23" t="s">
        <v>454</v>
      </c>
      <c r="E112" s="24" t="s">
        <v>475</v>
      </c>
    </row>
    <row r="113" spans="1:5" x14ac:dyDescent="0.25">
      <c r="A113" s="22" t="s">
        <v>455</v>
      </c>
      <c r="B113" s="23" t="s">
        <v>453</v>
      </c>
      <c r="C113" s="29">
        <v>186</v>
      </c>
      <c r="D113" s="23" t="s">
        <v>454</v>
      </c>
      <c r="E113" s="22" t="s">
        <v>475</v>
      </c>
    </row>
    <row r="114" spans="1:5" x14ac:dyDescent="0.25">
      <c r="A114" s="22" t="s">
        <v>456</v>
      </c>
      <c r="B114" s="23" t="s">
        <v>453</v>
      </c>
      <c r="C114" s="23">
        <v>462</v>
      </c>
      <c r="D114" s="23" t="s">
        <v>454</v>
      </c>
      <c r="E114" s="24" t="s">
        <v>475</v>
      </c>
    </row>
    <row r="115" spans="1:5" x14ac:dyDescent="0.25">
      <c r="A115" s="22" t="s">
        <v>477</v>
      </c>
      <c r="B115" s="23" t="s">
        <v>453</v>
      </c>
      <c r="C115" s="23">
        <v>30</v>
      </c>
      <c r="D115" s="23" t="s">
        <v>454</v>
      </c>
      <c r="E115" s="22" t="s">
        <v>487</v>
      </c>
    </row>
    <row r="116" spans="1:5" x14ac:dyDescent="0.25">
      <c r="A116" s="24" t="s">
        <v>505</v>
      </c>
      <c r="B116" s="25" t="s">
        <v>453</v>
      </c>
      <c r="C116" s="25">
        <v>9.5</v>
      </c>
      <c r="D116" s="25" t="s">
        <v>454</v>
      </c>
      <c r="E116" s="24" t="s">
        <v>487</v>
      </c>
    </row>
    <row r="117" spans="1:5" x14ac:dyDescent="0.25">
      <c r="A117" s="22" t="s">
        <v>506</v>
      </c>
      <c r="B117" s="23" t="s">
        <v>453</v>
      </c>
      <c r="C117" s="23">
        <v>2.5</v>
      </c>
      <c r="D117" s="23" t="s">
        <v>454</v>
      </c>
      <c r="E117" s="22" t="s">
        <v>487</v>
      </c>
    </row>
    <row r="118" spans="1:5" x14ac:dyDescent="0.25">
      <c r="A118" s="22" t="s">
        <v>457</v>
      </c>
      <c r="B118" s="23" t="s">
        <v>453</v>
      </c>
      <c r="C118" s="26">
        <v>68900</v>
      </c>
      <c r="D118" s="23" t="s">
        <v>454</v>
      </c>
      <c r="E118" s="24" t="s">
        <v>476</v>
      </c>
    </row>
    <row r="119" spans="1:5" x14ac:dyDescent="0.25">
      <c r="A119" s="22" t="s">
        <v>520</v>
      </c>
      <c r="B119" s="23" t="s">
        <v>453</v>
      </c>
      <c r="C119" s="23">
        <v>40</v>
      </c>
      <c r="D119" s="23" t="s">
        <v>454</v>
      </c>
      <c r="E119" s="24" t="s">
        <v>521</v>
      </c>
    </row>
    <row r="120" spans="1:5" x14ac:dyDescent="0.25">
      <c r="A120" s="22" t="s">
        <v>472</v>
      </c>
      <c r="B120" s="23" t="s">
        <v>56</v>
      </c>
      <c r="C120" s="23">
        <v>0.14799999999999999</v>
      </c>
      <c r="D120" s="23" t="s">
        <v>59</v>
      </c>
      <c r="E120" s="22" t="s">
        <v>474</v>
      </c>
    </row>
    <row r="121" spans="1:5" x14ac:dyDescent="0.25">
      <c r="A121" s="22" t="s">
        <v>458</v>
      </c>
      <c r="B121" s="23" t="s">
        <v>56</v>
      </c>
      <c r="C121" s="23">
        <v>4.0000000000000001E-3</v>
      </c>
      <c r="D121" s="23" t="s">
        <v>59</v>
      </c>
      <c r="E121" s="24"/>
    </row>
    <row r="122" spans="1:5" x14ac:dyDescent="0.25">
      <c r="A122" s="22" t="s">
        <v>459</v>
      </c>
      <c r="B122" s="23" t="s">
        <v>56</v>
      </c>
      <c r="C122" s="23">
        <v>0.04</v>
      </c>
      <c r="D122" s="23" t="s">
        <v>59</v>
      </c>
      <c r="E122" s="22"/>
    </row>
    <row r="123" spans="1:5" x14ac:dyDescent="0.25">
      <c r="A123" s="22" t="s">
        <v>460</v>
      </c>
      <c r="B123" s="23" t="s">
        <v>56</v>
      </c>
      <c r="C123" s="23">
        <v>2.3E-2</v>
      </c>
      <c r="D123" s="23" t="s">
        <v>59</v>
      </c>
      <c r="E123" s="24"/>
    </row>
    <row r="124" spans="1:5" x14ac:dyDescent="0.25">
      <c r="A124" s="22" t="s">
        <v>461</v>
      </c>
      <c r="B124" s="23" t="s">
        <v>56</v>
      </c>
      <c r="C124" s="23">
        <v>50</v>
      </c>
      <c r="D124" s="23" t="s">
        <v>23</v>
      </c>
      <c r="E124" s="22"/>
    </row>
    <row r="125" spans="1:5" x14ac:dyDescent="0.25">
      <c r="A125" s="22" t="s">
        <v>462</v>
      </c>
      <c r="B125" s="23" t="s">
        <v>56</v>
      </c>
      <c r="C125" s="23">
        <v>0.09</v>
      </c>
      <c r="D125" s="23" t="s">
        <v>59</v>
      </c>
      <c r="E125" s="24"/>
    </row>
    <row r="126" spans="1:5" x14ac:dyDescent="0.25">
      <c r="A126" s="22" t="s">
        <v>463</v>
      </c>
      <c r="B126" s="23" t="s">
        <v>56</v>
      </c>
      <c r="C126" s="23">
        <f>0.25*0.0254</f>
        <v>6.3499999999999997E-3</v>
      </c>
      <c r="D126" s="23" t="s">
        <v>59</v>
      </c>
      <c r="E126" s="22"/>
    </row>
    <row r="127" spans="1:5" x14ac:dyDescent="0.25">
      <c r="A127" s="22" t="s">
        <v>464</v>
      </c>
      <c r="B127" s="23" t="s">
        <v>56</v>
      </c>
      <c r="C127" s="23">
        <v>1.2699999999999999E-2</v>
      </c>
      <c r="D127" s="23" t="s">
        <v>59</v>
      </c>
      <c r="E127" s="24"/>
    </row>
    <row r="128" spans="1:5" x14ac:dyDescent="0.25">
      <c r="A128" s="22" t="s">
        <v>465</v>
      </c>
      <c r="B128" s="23" t="s">
        <v>56</v>
      </c>
      <c r="C128" s="23">
        <v>0.76</v>
      </c>
      <c r="D128" s="23" t="s">
        <v>59</v>
      </c>
      <c r="E128" s="22"/>
    </row>
    <row r="129" spans="1:5" x14ac:dyDescent="0.25">
      <c r="A129" s="22" t="s">
        <v>466</v>
      </c>
      <c r="B129" s="23" t="s">
        <v>56</v>
      </c>
      <c r="C129" s="23">
        <v>1.524E-3</v>
      </c>
      <c r="D129" s="23" t="s">
        <v>59</v>
      </c>
      <c r="E129" s="24"/>
    </row>
    <row r="130" spans="1:5" x14ac:dyDescent="0.25">
      <c r="A130" s="22" t="s">
        <v>467</v>
      </c>
      <c r="B130" s="23" t="s">
        <v>56</v>
      </c>
      <c r="C130" s="23">
        <v>1.2699999999999999E-2</v>
      </c>
      <c r="D130" s="23" t="s">
        <v>59</v>
      </c>
      <c r="E130" s="22"/>
    </row>
    <row r="131" spans="1:5" x14ac:dyDescent="0.25">
      <c r="A131" s="22" t="s">
        <v>468</v>
      </c>
      <c r="B131" s="23" t="s">
        <v>56</v>
      </c>
      <c r="C131" s="23">
        <v>0.56499999999999995</v>
      </c>
      <c r="D131" s="23" t="s">
        <v>59</v>
      </c>
      <c r="E131" s="24" t="s">
        <v>507</v>
      </c>
    </row>
    <row r="132" spans="1:5" x14ac:dyDescent="0.25">
      <c r="A132" s="22" t="s">
        <v>469</v>
      </c>
      <c r="B132" s="23" t="s">
        <v>56</v>
      </c>
      <c r="C132" s="23">
        <v>1.524E-3</v>
      </c>
      <c r="D132" s="23" t="s">
        <v>59</v>
      </c>
      <c r="E132" s="22"/>
    </row>
    <row r="133" spans="1:5" x14ac:dyDescent="0.25">
      <c r="A133" s="22" t="s">
        <v>470</v>
      </c>
      <c r="B133" s="23" t="s">
        <v>56</v>
      </c>
      <c r="C133" s="23">
        <v>8.9999999999999993E-3</v>
      </c>
      <c r="D133" s="23" t="s">
        <v>59</v>
      </c>
      <c r="E133" s="24"/>
    </row>
    <row r="134" spans="1:5" x14ac:dyDescent="0.25">
      <c r="A134" s="22" t="s">
        <v>471</v>
      </c>
      <c r="B134" s="23" t="s">
        <v>56</v>
      </c>
      <c r="C134" s="23">
        <v>4.3E-3</v>
      </c>
      <c r="D134" s="23" t="s">
        <v>59</v>
      </c>
      <c r="E134" s="22"/>
    </row>
    <row r="135" spans="1:5" x14ac:dyDescent="0.25">
      <c r="A135" s="24" t="s">
        <v>508</v>
      </c>
      <c r="B135" s="25" t="s">
        <v>56</v>
      </c>
      <c r="C135" s="25">
        <v>4.0000000000000001E-3</v>
      </c>
      <c r="D135" s="25" t="s">
        <v>59</v>
      </c>
      <c r="E135" s="24"/>
    </row>
    <row r="136" spans="1:5" x14ac:dyDescent="0.25">
      <c r="A136" t="s">
        <v>517</v>
      </c>
      <c r="B136" s="20" t="s">
        <v>56</v>
      </c>
      <c r="C136" s="20">
        <v>2E-3</v>
      </c>
      <c r="D136" s="20" t="s">
        <v>59</v>
      </c>
    </row>
    <row r="137" spans="1:5" x14ac:dyDescent="0.25">
      <c r="A137" t="s">
        <v>518</v>
      </c>
      <c r="B137" s="20" t="s">
        <v>56</v>
      </c>
      <c r="C137" s="20">
        <f>C130+2*C136</f>
        <v>1.67E-2</v>
      </c>
      <c r="D137" s="20" t="s">
        <v>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4"/>
  <sheetViews>
    <sheetView topLeftCell="A28" zoomScale="130" zoomScaleNormal="130" workbookViewId="0">
      <selection activeCell="D113" sqref="D113"/>
    </sheetView>
  </sheetViews>
  <sheetFormatPr xmlns:x14ac="http://schemas.microsoft.com/office/spreadsheetml/2009/9/ac" defaultRowHeight="15" x14ac:dyDescent="0.25"/>
  <cols>
    <col min="1" max="1" width="40.7109375" customWidth="true"/>
    <col min="2" max="2" width="12.5703125" customWidth="true"/>
    <col min="3" max="3" width="33.42578125" customWidth="true"/>
    <col min="4" max="4" width="7.140625" customWidth="true"/>
    <col min="5" max="5" width="46" customWidth="true"/>
    <col min="6" max="6" width="35.7109375" customWidth="true"/>
    <col min="8" max="8" width="42.7109375" customWidth="true"/>
    <col min="7" max="7" width="9.140625"/>
  </cols>
  <sheetData>
    <row r="1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372</v>
      </c>
      <c r="G1" s="0"/>
      <c r="H1" s="0" t="s">
        <v>538</v>
      </c>
    </row>
    <row r="2">
      <c r="A2" s="0" t="s">
        <v>14</v>
      </c>
      <c r="B2" s="0" t="s">
        <v>7</v>
      </c>
      <c r="C2" s="0">
        <v>1.4191375434037288</v>
      </c>
      <c r="D2" s="0" t="s">
        <v>8</v>
      </c>
      <c r="E2" s="0" t="s">
        <v>530</v>
      </c>
      <c r="F2" s="0" t="s">
        <v>534</v>
      </c>
      <c r="G2" s="0"/>
      <c r="H2" s="0"/>
    </row>
    <row r="3">
      <c r="A3" s="0" t="s">
        <v>260</v>
      </c>
      <c r="B3" s="0" t="s">
        <v>7</v>
      </c>
      <c r="C3" s="0">
        <v>-0.65498655849402876</v>
      </c>
      <c r="D3" s="0" t="s">
        <v>8</v>
      </c>
      <c r="E3" s="0" t="s">
        <v>531</v>
      </c>
      <c r="F3" s="0" t="s">
        <v>535</v>
      </c>
      <c r="G3" s="0"/>
      <c r="H3" s="0"/>
    </row>
    <row r="4">
      <c r="A4" s="0" t="s">
        <v>527</v>
      </c>
      <c r="B4" s="0" t="s">
        <v>7</v>
      </c>
      <c r="C4" s="0">
        <v>0.99240387650610407</v>
      </c>
      <c r="D4" s="0" t="s">
        <v>8</v>
      </c>
      <c r="E4" s="0" t="s">
        <v>532</v>
      </c>
      <c r="F4" s="0" t="s">
        <v>373</v>
      </c>
      <c r="G4" s="0"/>
      <c r="H4" s="0"/>
    </row>
    <row r="5">
      <c r="A5" s="0" t="s">
        <v>312</v>
      </c>
      <c r="B5" s="0" t="s">
        <v>7</v>
      </c>
      <c r="C5" s="0">
        <v>0.29999999999999999</v>
      </c>
      <c r="D5" s="0" t="s">
        <v>8</v>
      </c>
      <c r="E5" s="0" t="s">
        <v>345</v>
      </c>
      <c r="F5" s="0" t="s">
        <v>373</v>
      </c>
      <c r="G5" s="0"/>
      <c r="H5" s="0"/>
    </row>
    <row r="6">
      <c r="A6" s="0" t="s">
        <v>313</v>
      </c>
      <c r="B6" s="0" t="s">
        <v>7</v>
      </c>
      <c r="C6" s="0">
        <v>1.1728409449617592</v>
      </c>
      <c r="D6" s="0" t="s">
        <v>8</v>
      </c>
      <c r="E6" s="0" t="s">
        <v>346</v>
      </c>
      <c r="F6" s="0" t="s">
        <v>373</v>
      </c>
      <c r="G6" s="0"/>
      <c r="H6" s="0"/>
    </row>
    <row r="7">
      <c r="A7" s="0" t="s">
        <v>314</v>
      </c>
      <c r="B7" s="0" t="s">
        <v>7</v>
      </c>
      <c r="C7" s="0">
        <v>0.909111057543731</v>
      </c>
      <c r="D7" s="0" t="s">
        <v>8</v>
      </c>
      <c r="E7" s="0" t="s">
        <v>347</v>
      </c>
      <c r="F7" s="0" t="s">
        <v>373</v>
      </c>
      <c r="G7" s="0"/>
      <c r="H7" s="0"/>
    </row>
    <row r="8">
      <c r="A8" s="0" t="s">
        <v>315</v>
      </c>
      <c r="B8" s="0" t="s">
        <v>7</v>
      </c>
      <c r="C8" s="0">
        <v>0.073807403051272355</v>
      </c>
      <c r="D8" s="0" t="s">
        <v>8</v>
      </c>
      <c r="E8" s="0" t="s">
        <v>348</v>
      </c>
      <c r="F8" s="0" t="s">
        <v>373</v>
      </c>
      <c r="G8" s="0"/>
      <c r="H8" s="0"/>
    </row>
    <row r="9">
      <c r="A9" s="0" t="s">
        <v>316</v>
      </c>
      <c r="B9" s="0" t="s">
        <v>7</v>
      </c>
      <c r="C9" s="0">
        <v>0.19588300688233271</v>
      </c>
      <c r="D9" s="0" t="s">
        <v>8</v>
      </c>
      <c r="E9" s="0" t="s">
        <v>349</v>
      </c>
      <c r="F9" s="0" t="s">
        <v>373</v>
      </c>
      <c r="G9" s="0"/>
      <c r="H9" s="0"/>
    </row>
    <row r="10">
      <c r="A10" s="0" t="s">
        <v>317</v>
      </c>
      <c r="B10" s="0" t="s">
        <v>7</v>
      </c>
      <c r="C10" s="0">
        <v>0.03208872584134604</v>
      </c>
      <c r="D10" s="0"/>
      <c r="E10" s="0"/>
      <c r="F10" s="0" t="s">
        <v>373</v>
      </c>
      <c r="G10" s="0"/>
      <c r="H10" s="0"/>
    </row>
    <row r="11">
      <c r="A11" s="0" t="s">
        <v>318</v>
      </c>
      <c r="B11" s="0" t="s">
        <v>7</v>
      </c>
      <c r="C11" s="0">
        <v>0.03873139211596055</v>
      </c>
      <c r="D11" s="0" t="s">
        <v>8</v>
      </c>
      <c r="E11" s="0" t="s">
        <v>350</v>
      </c>
      <c r="F11" s="0" t="s">
        <v>373</v>
      </c>
      <c r="G11" s="0"/>
      <c r="H11" s="0"/>
    </row>
    <row r="12">
      <c r="A12" s="0" t="s">
        <v>319</v>
      </c>
      <c r="B12" s="0" t="s">
        <v>7</v>
      </c>
      <c r="C12" s="0">
        <v>0.03873139211596055</v>
      </c>
      <c r="D12" s="0" t="s">
        <v>8</v>
      </c>
      <c r="E12" s="0" t="s">
        <v>351</v>
      </c>
      <c r="F12" s="0" t="s">
        <v>373</v>
      </c>
      <c r="G12" s="0"/>
      <c r="H12" s="0"/>
    </row>
    <row r="13">
      <c r="A13" s="0" t="s">
        <v>320</v>
      </c>
      <c r="B13" s="0" t="s">
        <v>7</v>
      </c>
      <c r="C13" s="0">
        <v>0.023731392115960551</v>
      </c>
      <c r="D13" s="0" t="s">
        <v>8</v>
      </c>
      <c r="E13" s="0" t="s">
        <v>352</v>
      </c>
      <c r="F13" s="0" t="s">
        <v>373</v>
      </c>
      <c r="G13" s="0"/>
      <c r="H13" s="0"/>
    </row>
    <row r="14">
      <c r="A14" s="0" t="s">
        <v>321</v>
      </c>
      <c r="B14" s="0" t="s">
        <v>7</v>
      </c>
      <c r="C14" s="0">
        <v>7.7456549741824299</v>
      </c>
      <c r="D14" s="0" t="s">
        <v>8</v>
      </c>
      <c r="E14" s="0" t="s">
        <v>353</v>
      </c>
      <c r="F14" s="0" t="s">
        <v>373</v>
      </c>
      <c r="G14" s="0"/>
      <c r="H14" s="0"/>
    </row>
    <row r="15">
      <c r="A15" s="0" t="s">
        <v>322</v>
      </c>
      <c r="B15" s="0" t="s">
        <v>7</v>
      </c>
      <c r="C15" s="0">
        <v>10.274100404608518</v>
      </c>
      <c r="D15" s="0" t="s">
        <v>8</v>
      </c>
      <c r="E15" s="0" t="s">
        <v>354</v>
      </c>
      <c r="F15" s="0" t="s">
        <v>373</v>
      </c>
      <c r="G15" s="0"/>
      <c r="H15" s="0"/>
    </row>
    <row r="16">
      <c r="A16" s="0" t="s">
        <v>375</v>
      </c>
      <c r="B16" s="0" t="s">
        <v>7</v>
      </c>
      <c r="C16" s="0">
        <v>3.0198549799930445</v>
      </c>
      <c r="D16" s="0"/>
      <c r="E16" s="0"/>
      <c r="F16" s="0" t="s">
        <v>373</v>
      </c>
      <c r="G16" s="0"/>
      <c r="H16" s="0"/>
    </row>
    <row r="17">
      <c r="A17" s="0" t="s">
        <v>376</v>
      </c>
      <c r="B17" s="0" t="s">
        <v>7</v>
      </c>
      <c r="C17" s="0">
        <v>4.1725537712580696</v>
      </c>
      <c r="D17" s="0"/>
      <c r="E17" s="0"/>
      <c r="F17" s="0" t="s">
        <v>373</v>
      </c>
      <c r="G17" s="0"/>
      <c r="H17" s="0"/>
    </row>
    <row r="18">
      <c r="A18" s="0" t="s">
        <v>377</v>
      </c>
      <c r="B18" s="0" t="s">
        <v>7</v>
      </c>
      <c r="C18" s="0">
        <v>0.55994942450251772</v>
      </c>
      <c r="D18" s="0"/>
      <c r="E18" s="0"/>
      <c r="F18" s="0" t="s">
        <v>373</v>
      </c>
      <c r="G18" s="0"/>
      <c r="H18" s="0"/>
    </row>
    <row r="19">
      <c r="A19" s="0" t="s">
        <v>378</v>
      </c>
      <c r="B19" s="0" t="s">
        <v>7</v>
      </c>
      <c r="C19" s="0">
        <v>5.5014426931229465</v>
      </c>
      <c r="D19" s="0"/>
      <c r="E19" s="0"/>
      <c r="F19" s="0" t="s">
        <v>373</v>
      </c>
      <c r="G19" s="0"/>
      <c r="H19" s="0"/>
    </row>
    <row r="20">
      <c r="A20" s="0" t="s">
        <v>379</v>
      </c>
      <c r="B20" s="0" t="s">
        <v>7</v>
      </c>
      <c r="C20" s="0">
        <v>-0.088622506220185249</v>
      </c>
      <c r="D20" s="0"/>
      <c r="E20" s="0"/>
      <c r="F20" s="0" t="s">
        <v>373</v>
      </c>
      <c r="G20" s="0"/>
      <c r="H20" s="0"/>
    </row>
    <row r="21">
      <c r="A21" s="0" t="s">
        <v>380</v>
      </c>
      <c r="B21" s="0" t="s">
        <v>7</v>
      </c>
      <c r="C21" s="0">
        <v>0.66074594914354523</v>
      </c>
      <c r="D21" s="0"/>
      <c r="E21" s="0"/>
      <c r="F21" s="0" t="s">
        <v>373</v>
      </c>
      <c r="G21" s="0"/>
      <c r="H21" s="0"/>
    </row>
    <row r="22">
      <c r="A22" s="0" t="s">
        <v>381</v>
      </c>
      <c r="B22" s="0" t="s">
        <v>7</v>
      </c>
      <c r="C22" s="0">
        <v>0.60899778104422941</v>
      </c>
      <c r="D22" s="0"/>
      <c r="E22" s="0"/>
      <c r="F22" s="0" t="s">
        <v>373</v>
      </c>
      <c r="G22" s="0"/>
      <c r="H22" s="0"/>
    </row>
    <row r="23">
      <c r="A23" s="0" t="s">
        <v>382</v>
      </c>
      <c r="B23" s="0" t="s">
        <v>7</v>
      </c>
      <c r="C23" s="0">
        <v>1.5753270213496304</v>
      </c>
      <c r="D23" s="0"/>
      <c r="E23" s="0"/>
      <c r="F23" s="0" t="s">
        <v>373</v>
      </c>
      <c r="G23" s="0"/>
      <c r="H23" s="0"/>
    </row>
    <row r="24">
      <c r="A24" s="0" t="s">
        <v>383</v>
      </c>
      <c r="B24" s="0" t="s">
        <v>7</v>
      </c>
      <c r="C24" s="0">
        <v>0.66074594914354523</v>
      </c>
      <c r="D24" s="0"/>
      <c r="E24" s="0"/>
      <c r="F24" s="0" t="s">
        <v>373</v>
      </c>
      <c r="G24" s="0"/>
      <c r="H24" s="0"/>
    </row>
    <row r="25">
      <c r="A25" s="0" t="s">
        <v>384</v>
      </c>
      <c r="B25" s="0" t="s">
        <v>7</v>
      </c>
      <c r="C25" s="0">
        <v>0.12602616170797043</v>
      </c>
      <c r="D25" s="0"/>
      <c r="E25" s="0"/>
      <c r="F25" s="0" t="s">
        <v>373</v>
      </c>
      <c r="G25" s="0"/>
      <c r="H25" s="0"/>
    </row>
    <row r="26">
      <c r="A26" s="0" t="s">
        <v>451</v>
      </c>
      <c r="B26" s="0" t="s">
        <v>7</v>
      </c>
      <c r="C26" s="0">
        <v>0.80058058757031447</v>
      </c>
      <c r="D26" s="0"/>
      <c r="E26" s="0"/>
      <c r="F26" s="0" t="s">
        <v>373</v>
      </c>
      <c r="G26" s="0"/>
      <c r="H26" s="0"/>
    </row>
    <row r="27">
      <c r="A27" s="0" t="s">
        <v>324</v>
      </c>
      <c r="B27" s="0" t="s">
        <v>56</v>
      </c>
      <c r="C27" s="0">
        <v>0.31619718309859157</v>
      </c>
      <c r="D27" s="0" t="s">
        <v>59</v>
      </c>
      <c r="E27" s="0" t="s">
        <v>355</v>
      </c>
      <c r="F27" s="0" t="s">
        <v>373</v>
      </c>
      <c r="G27" s="0"/>
      <c r="H27" s="0"/>
    </row>
    <row r="28">
      <c r="A28" s="0" t="s">
        <v>325</v>
      </c>
      <c r="B28" s="0" t="s">
        <v>56</v>
      </c>
      <c r="C28" s="0">
        <v>4.7438752783964358</v>
      </c>
      <c r="D28" s="0" t="s">
        <v>8</v>
      </c>
      <c r="E28" s="0" t="s">
        <v>356</v>
      </c>
      <c r="F28" s="0" t="s">
        <v>373</v>
      </c>
      <c r="G28" s="0"/>
      <c r="H28" s="0"/>
    </row>
    <row r="29">
      <c r="A29" s="0" t="s">
        <v>326</v>
      </c>
      <c r="B29" s="0" t="s">
        <v>56</v>
      </c>
      <c r="C29" s="0">
        <v>0.076330000000000009</v>
      </c>
      <c r="D29" s="0" t="s">
        <v>66</v>
      </c>
      <c r="E29" s="0" t="s">
        <v>357</v>
      </c>
      <c r="F29" s="0" t="s">
        <v>373</v>
      </c>
      <c r="G29" s="0"/>
      <c r="H29" s="0"/>
    </row>
    <row r="30">
      <c r="A30" s="0" t="s">
        <v>327</v>
      </c>
      <c r="B30" s="0" t="s">
        <v>56</v>
      </c>
      <c r="C30" s="0">
        <v>0.43683520920365387</v>
      </c>
      <c r="D30" s="0" t="s">
        <v>59</v>
      </c>
      <c r="E30" s="0" t="s">
        <v>358</v>
      </c>
      <c r="F30" s="0" t="s">
        <v>373</v>
      </c>
      <c r="G30" s="0"/>
      <c r="H30" s="0"/>
    </row>
    <row r="31">
      <c r="A31" s="0" t="s">
        <v>328</v>
      </c>
      <c r="B31" s="0" t="s">
        <v>56</v>
      </c>
      <c r="C31" s="0">
        <v>0.17473408368146154</v>
      </c>
      <c r="D31" s="0" t="s">
        <v>59</v>
      </c>
      <c r="E31" s="0" t="s">
        <v>359</v>
      </c>
      <c r="F31" s="0" t="s">
        <v>373</v>
      </c>
      <c r="G31" s="0"/>
      <c r="H31" s="0"/>
    </row>
    <row r="32">
      <c r="A32" s="0" t="s">
        <v>329</v>
      </c>
      <c r="B32" s="0" t="s">
        <v>56</v>
      </c>
      <c r="C32" s="0">
        <v>0.43011135857461025</v>
      </c>
      <c r="D32" s="0" t="s">
        <v>8</v>
      </c>
      <c r="E32" s="0" t="s">
        <v>360</v>
      </c>
      <c r="F32" s="0" t="s">
        <v>373</v>
      </c>
      <c r="G32" s="0"/>
      <c r="H32" s="0"/>
    </row>
    <row r="33">
      <c r="A33" s="0" t="s">
        <v>330</v>
      </c>
      <c r="B33" s="0" t="s">
        <v>56</v>
      </c>
      <c r="C33" s="0">
        <v>0.067349999999999993</v>
      </c>
      <c r="D33" s="0" t="s">
        <v>66</v>
      </c>
      <c r="E33" s="0" t="s">
        <v>361</v>
      </c>
      <c r="F33" s="0" t="s">
        <v>373</v>
      </c>
      <c r="G33" s="0"/>
      <c r="H33" s="0"/>
    </row>
    <row r="34">
      <c r="A34" s="0" t="s">
        <v>331</v>
      </c>
      <c r="B34" s="0" t="s">
        <v>56</v>
      </c>
      <c r="C34" s="0">
        <v>0.067349999999999993</v>
      </c>
      <c r="D34" s="0" t="s">
        <v>66</v>
      </c>
      <c r="E34" s="0" t="s">
        <v>362</v>
      </c>
      <c r="F34" s="0" t="s">
        <v>373</v>
      </c>
      <c r="G34" s="0"/>
      <c r="H34" s="0"/>
    </row>
    <row r="35">
      <c r="A35" s="0" t="s">
        <v>332</v>
      </c>
      <c r="B35" s="0" t="s">
        <v>56</v>
      </c>
      <c r="C35" s="0">
        <v>0.26844831904856476</v>
      </c>
      <c r="D35" s="0" t="s">
        <v>59</v>
      </c>
      <c r="E35" s="0" t="s">
        <v>363</v>
      </c>
      <c r="F35" s="0" t="s">
        <v>373</v>
      </c>
      <c r="G35" s="0"/>
      <c r="H35" s="0"/>
    </row>
    <row r="36">
      <c r="A36" s="0" t="s">
        <v>333</v>
      </c>
      <c r="B36" s="0" t="s">
        <v>56</v>
      </c>
      <c r="C36" s="0">
        <v>0.25088627948463993</v>
      </c>
      <c r="D36" s="0" t="s">
        <v>59</v>
      </c>
      <c r="E36" s="0" t="s">
        <v>364</v>
      </c>
      <c r="F36" s="0" t="s">
        <v>373</v>
      </c>
      <c r="G36" s="0"/>
      <c r="H36" s="0"/>
    </row>
    <row r="37">
      <c r="A37" s="0" t="s">
        <v>385</v>
      </c>
      <c r="B37" s="0" t="s">
        <v>56</v>
      </c>
      <c r="C37" s="0" t="s">
        <v>529</v>
      </c>
      <c r="D37" s="0"/>
      <c r="E37" s="0"/>
      <c r="F37" s="0" t="s">
        <v>373</v>
      </c>
      <c r="G37" s="0"/>
      <c r="H37" s="0"/>
    </row>
    <row r="38">
      <c r="A38" s="0" t="s">
        <v>386</v>
      </c>
      <c r="B38" s="0" t="s">
        <v>56</v>
      </c>
      <c r="C38" s="0">
        <v>0.26176609800427853</v>
      </c>
      <c r="D38" s="0"/>
      <c r="E38" s="0"/>
      <c r="F38" s="0" t="s">
        <v>373</v>
      </c>
      <c r="G38" s="0"/>
      <c r="H38" s="0"/>
    </row>
    <row r="39">
      <c r="A39" s="0" t="s">
        <v>387</v>
      </c>
      <c r="B39" s="0" t="s">
        <v>56</v>
      </c>
      <c r="C39" s="0">
        <v>0.37994765995305757</v>
      </c>
      <c r="D39" s="0"/>
      <c r="E39" s="0"/>
      <c r="F39" s="0" t="s">
        <v>373</v>
      </c>
      <c r="G39" s="0"/>
      <c r="H39" s="0"/>
    </row>
    <row r="40">
      <c r="A40" s="0" t="s">
        <v>388</v>
      </c>
      <c r="B40" s="0" t="s">
        <v>56</v>
      </c>
      <c r="C40" s="0">
        <v>0.22994765995305758</v>
      </c>
      <c r="D40" s="0"/>
      <c r="E40" s="0"/>
      <c r="F40" s="0" t="s">
        <v>373</v>
      </c>
      <c r="G40" s="0"/>
      <c r="H40" s="0"/>
    </row>
    <row r="41">
      <c r="A41" s="0" t="s">
        <v>340</v>
      </c>
      <c r="B41" s="0" t="s">
        <v>134</v>
      </c>
      <c r="C41" s="0">
        <v>33.844500000000004</v>
      </c>
      <c r="D41" s="0" t="s">
        <v>344</v>
      </c>
      <c r="E41" s="0" t="s">
        <v>371</v>
      </c>
      <c r="F41" s="0" t="s">
        <v>373</v>
      </c>
      <c r="G41" s="0"/>
      <c r="H41" s="0"/>
    </row>
    <row r="42">
      <c r="A42" s="0" t="s">
        <v>528</v>
      </c>
      <c r="B42" s="0" t="s">
        <v>134</v>
      </c>
      <c r="C42" s="0">
        <v>75.377505567928736</v>
      </c>
      <c r="D42" s="0" t="s">
        <v>153</v>
      </c>
      <c r="E42" s="0" t="s">
        <v>533</v>
      </c>
      <c r="F42" s="0" t="s">
        <v>373</v>
      </c>
      <c r="G42" s="0"/>
      <c r="H42" s="0"/>
    </row>
    <row r="43">
      <c r="A43" s="0" t="s">
        <v>334</v>
      </c>
      <c r="B43" s="0" t="s">
        <v>134</v>
      </c>
      <c r="C43" s="0">
        <v>20.331198513711023</v>
      </c>
      <c r="D43" s="0" t="s">
        <v>135</v>
      </c>
      <c r="E43" s="0" t="s">
        <v>365</v>
      </c>
      <c r="F43" s="0" t="s">
        <v>373</v>
      </c>
      <c r="G43" s="0"/>
      <c r="H43" s="0"/>
    </row>
    <row r="44">
      <c r="A44" s="0" t="s">
        <v>335</v>
      </c>
      <c r="B44" s="0" t="s">
        <v>134</v>
      </c>
      <c r="C44" s="0">
        <v>11</v>
      </c>
      <c r="D44" s="0" t="s">
        <v>135</v>
      </c>
      <c r="E44" s="0" t="s">
        <v>366</v>
      </c>
      <c r="F44" s="0" t="s">
        <v>373</v>
      </c>
      <c r="G44" s="0"/>
      <c r="H44" s="0"/>
    </row>
    <row r="45">
      <c r="A45" s="0" t="s">
        <v>336</v>
      </c>
      <c r="B45" s="0" t="s">
        <v>134</v>
      </c>
      <c r="C45" s="0">
        <v>14.810748414335091</v>
      </c>
      <c r="D45" s="0" t="s">
        <v>135</v>
      </c>
      <c r="E45" s="0" t="s">
        <v>367</v>
      </c>
      <c r="F45" s="0" t="s">
        <v>373</v>
      </c>
      <c r="G45" s="0"/>
      <c r="H45" s="0"/>
    </row>
    <row r="46">
      <c r="A46" s="0" t="s">
        <v>337</v>
      </c>
      <c r="B46" s="0" t="s">
        <v>134</v>
      </c>
      <c r="C46" s="0">
        <v>12.24744871391589</v>
      </c>
      <c r="D46" s="0" t="s">
        <v>135</v>
      </c>
      <c r="E46" s="0" t="s">
        <v>368</v>
      </c>
      <c r="F46" s="0" t="s">
        <v>373</v>
      </c>
      <c r="G46" s="0"/>
      <c r="H46" s="0"/>
    </row>
    <row r="47">
      <c r="A47" s="0" t="s">
        <v>338</v>
      </c>
      <c r="B47" s="0" t="s">
        <v>134</v>
      </c>
      <c r="C47" s="0">
        <v>48.189685104221404</v>
      </c>
      <c r="D47" s="0" t="s">
        <v>23</v>
      </c>
      <c r="E47" s="0" t="s">
        <v>369</v>
      </c>
      <c r="F47" s="0" t="s">
        <v>373</v>
      </c>
      <c r="G47" s="0"/>
      <c r="H47" s="0"/>
    </row>
    <row r="48">
      <c r="A48" s="0" t="s">
        <v>339</v>
      </c>
      <c r="B48" s="0" t="s">
        <v>134</v>
      </c>
      <c r="C48" s="0">
        <v>16.699244233993625</v>
      </c>
      <c r="D48" s="0" t="s">
        <v>23</v>
      </c>
      <c r="E48" s="0" t="s">
        <v>370</v>
      </c>
      <c r="F48" s="0" t="s">
        <v>373</v>
      </c>
      <c r="G48" s="0"/>
      <c r="H48" s="0"/>
    </row>
    <row r="49">
      <c r="A49" s="0" t="s">
        <v>341</v>
      </c>
      <c r="B49" s="0" t="s">
        <v>134</v>
      </c>
      <c r="C49" s="0">
        <v>0.44735492688643469</v>
      </c>
      <c r="D49" s="0"/>
      <c r="E49" s="0"/>
      <c r="F49" s="0" t="s">
        <v>373</v>
      </c>
      <c r="G49" s="0"/>
      <c r="H49" s="0"/>
    </row>
    <row r="50">
      <c r="A50" s="0" t="s">
        <v>342</v>
      </c>
      <c r="B50" s="0" t="s">
        <v>134</v>
      </c>
      <c r="C50" s="0">
        <v>235756.04646915107</v>
      </c>
      <c r="D50" s="0"/>
      <c r="E50" s="0"/>
      <c r="F50" s="0" t="s">
        <v>373</v>
      </c>
      <c r="G50" s="0"/>
      <c r="H50" s="0"/>
    </row>
    <row r="51">
      <c r="A51" s="0" t="s">
        <v>343</v>
      </c>
      <c r="B51" s="0" t="s">
        <v>134</v>
      </c>
      <c r="C51" s="0">
        <v>132023.38602272459</v>
      </c>
      <c r="D51" s="0"/>
      <c r="E51" s="0"/>
      <c r="F51" s="0" t="s">
        <v>373</v>
      </c>
      <c r="G51" s="0"/>
      <c r="H51" s="0"/>
    </row>
    <row r="52">
      <c r="A52" s="0" t="s">
        <v>389</v>
      </c>
      <c r="B52" s="0" t="s">
        <v>134</v>
      </c>
      <c r="C52" s="0">
        <v>31.767487610710177</v>
      </c>
      <c r="D52" s="0"/>
      <c r="E52" s="0"/>
      <c r="F52" s="0" t="s">
        <v>373</v>
      </c>
      <c r="G52" s="0"/>
      <c r="H52" s="0"/>
    </row>
    <row r="53">
      <c r="A53" s="0" t="s">
        <v>390</v>
      </c>
      <c r="B53" s="0" t="s">
        <v>134</v>
      </c>
      <c r="C53" s="0">
        <v>11.263694727431744</v>
      </c>
      <c r="D53" s="0"/>
      <c r="E53" s="0"/>
      <c r="F53" s="0" t="s">
        <v>373</v>
      </c>
      <c r="G53" s="0"/>
      <c r="H53" s="0"/>
    </row>
    <row r="54">
      <c r="A54" s="0" t="s">
        <v>391</v>
      </c>
      <c r="B54" s="0" t="s">
        <v>134</v>
      </c>
      <c r="C54" s="0">
        <v>3.7999999999999998</v>
      </c>
      <c r="D54" s="0"/>
      <c r="E54" s="0"/>
      <c r="F54" s="0" t="s">
        <v>373</v>
      </c>
      <c r="G54" s="0"/>
      <c r="H54" s="0"/>
    </row>
    <row r="55">
      <c r="A55" s="0" t="s">
        <v>392</v>
      </c>
      <c r="B55" s="0" t="s">
        <v>134</v>
      </c>
      <c r="C55" s="0">
        <v>-1.52</v>
      </c>
      <c r="D55" s="0"/>
      <c r="E55" s="0"/>
      <c r="F55" s="0" t="s">
        <v>373</v>
      </c>
      <c r="G55" s="0"/>
      <c r="H55" s="0"/>
    </row>
    <row r="56">
      <c r="A56" s="0" t="s">
        <v>393</v>
      </c>
      <c r="B56" s="0" t="s">
        <v>134</v>
      </c>
      <c r="C56" s="0">
        <v>5.6999999999999993</v>
      </c>
      <c r="D56" s="0"/>
      <c r="E56" s="0"/>
      <c r="F56" s="0" t="s">
        <v>373</v>
      </c>
      <c r="G56" s="0"/>
      <c r="H56" s="0"/>
    </row>
    <row r="57">
      <c r="A57" s="0" t="s">
        <v>394</v>
      </c>
      <c r="B57" s="0" t="s">
        <v>134</v>
      </c>
      <c r="C57" s="0">
        <v>-2.2800000000000003</v>
      </c>
      <c r="D57" s="0"/>
      <c r="E57" s="0"/>
      <c r="F57" s="0" t="s">
        <v>373</v>
      </c>
      <c r="G57" s="0"/>
      <c r="H57" s="0"/>
    </row>
    <row r="58">
      <c r="A58" s="0" t="s">
        <v>395</v>
      </c>
      <c r="B58" s="0" t="s">
        <v>134</v>
      </c>
      <c r="C58" s="0">
        <v>18.152957369967471</v>
      </c>
      <c r="D58" s="0"/>
      <c r="E58" s="0"/>
      <c r="F58" s="0" t="s">
        <v>373</v>
      </c>
      <c r="G58" s="0"/>
      <c r="H58" s="0"/>
    </row>
    <row r="59">
      <c r="A59" s="0" t="s">
        <v>396</v>
      </c>
      <c r="B59" s="0" t="s">
        <v>134</v>
      </c>
      <c r="C59" s="0">
        <v>24.697071804809376</v>
      </c>
      <c r="D59" s="0"/>
      <c r="E59" s="0"/>
      <c r="F59" s="0" t="s">
        <v>373</v>
      </c>
      <c r="G59" s="0"/>
      <c r="H59" s="0"/>
    </row>
    <row r="60">
      <c r="A60" s="0" t="s">
        <v>397</v>
      </c>
      <c r="B60" s="0" t="s">
        <v>134</v>
      </c>
      <c r="C60" s="0">
        <v>35.738423562048951</v>
      </c>
      <c r="D60" s="0"/>
      <c r="E60" s="0"/>
      <c r="F60" s="0" t="s">
        <v>373</v>
      </c>
      <c r="G60" s="0"/>
      <c r="H60" s="0"/>
    </row>
    <row r="61">
      <c r="A61" s="0" t="s">
        <v>398</v>
      </c>
      <c r="B61" s="0" t="s">
        <v>134</v>
      </c>
      <c r="C61" s="0">
        <v>39.709359513387725</v>
      </c>
      <c r="D61" s="0"/>
      <c r="E61" s="0"/>
      <c r="F61" s="0" t="s">
        <v>373</v>
      </c>
      <c r="G61" s="0"/>
      <c r="H61" s="0"/>
    </row>
    <row r="62">
      <c r="A62" s="0" t="s">
        <v>399</v>
      </c>
      <c r="B62" s="0" t="s">
        <v>134</v>
      </c>
      <c r="C62" s="0">
        <v>4.0610066610075055</v>
      </c>
      <c r="D62" s="0"/>
      <c r="E62" s="0"/>
      <c r="F62" s="0" t="s">
        <v>373</v>
      </c>
      <c r="G62" s="0"/>
      <c r="H62" s="0"/>
    </row>
    <row r="63">
      <c r="A63" s="0" t="s">
        <v>523</v>
      </c>
      <c r="B63" s="0" t="s">
        <v>168</v>
      </c>
      <c r="C63" s="0">
        <v>11198.551572673008</v>
      </c>
      <c r="D63" s="0"/>
      <c r="E63" s="0"/>
      <c r="F63" s="0" t="s">
        <v>373</v>
      </c>
      <c r="G63" s="0"/>
      <c r="H63" s="0"/>
    </row>
    <row r="64">
      <c r="A64" s="0" t="s">
        <v>524</v>
      </c>
      <c r="B64" s="0" t="s">
        <v>168</v>
      </c>
      <c r="C64" s="0" t="s">
        <v>525</v>
      </c>
      <c r="D64" s="0"/>
      <c r="E64" s="0"/>
      <c r="F64" s="0" t="s">
        <v>373</v>
      </c>
      <c r="G64" s="0"/>
      <c r="H64" s="0"/>
    </row>
    <row r="65">
      <c r="A65" s="0" t="s">
        <v>400</v>
      </c>
      <c r="B65" s="0" t="s">
        <v>262</v>
      </c>
      <c r="C65" s="0">
        <v>28.419219278569841</v>
      </c>
      <c r="D65" s="0"/>
      <c r="E65" s="0"/>
      <c r="F65" s="0" t="s">
        <v>373</v>
      </c>
      <c r="G65" s="0"/>
      <c r="H65" s="0"/>
    </row>
    <row r="66">
      <c r="A66" s="0" t="s">
        <v>401</v>
      </c>
      <c r="B66" s="0" t="s">
        <v>262</v>
      </c>
      <c r="C66" s="0">
        <v>0</v>
      </c>
      <c r="D66" s="0"/>
      <c r="E66" s="0"/>
      <c r="F66" s="0" t="s">
        <v>373</v>
      </c>
      <c r="G66" s="0"/>
      <c r="H66" s="0"/>
    </row>
    <row r="67">
      <c r="A67" s="0" t="s">
        <v>402</v>
      </c>
      <c r="B67" s="0" t="s">
        <v>262</v>
      </c>
      <c r="C67" s="0" t="s">
        <v>448</v>
      </c>
      <c r="D67" s="0"/>
      <c r="E67" s="0"/>
      <c r="F67" s="0" t="s">
        <v>373</v>
      </c>
      <c r="G67" s="0"/>
      <c r="H67" s="0"/>
    </row>
    <row r="68">
      <c r="A68" s="0" t="s">
        <v>403</v>
      </c>
      <c r="B68" s="0" t="s">
        <v>262</v>
      </c>
      <c r="C68" s="0">
        <v>73.835984210203023</v>
      </c>
      <c r="D68" s="0"/>
      <c r="E68" s="0"/>
      <c r="F68" s="0" t="s">
        <v>373</v>
      </c>
      <c r="G68" s="0"/>
      <c r="H68" s="0"/>
    </row>
    <row r="69">
      <c r="A69" s="0" t="s">
        <v>404</v>
      </c>
      <c r="B69" s="0" t="s">
        <v>262</v>
      </c>
      <c r="C69" s="0">
        <v>0</v>
      </c>
      <c r="D69" s="0"/>
      <c r="E69" s="0"/>
      <c r="F69" s="0" t="s">
        <v>373</v>
      </c>
      <c r="G69" s="0"/>
      <c r="H69" s="0"/>
    </row>
    <row r="70">
      <c r="A70" s="0" t="s">
        <v>405</v>
      </c>
      <c r="B70" s="0" t="s">
        <v>262</v>
      </c>
      <c r="C70" s="0">
        <v>-1.2107880115269625</v>
      </c>
      <c r="D70" s="0"/>
      <c r="E70" s="0"/>
      <c r="F70" s="0" t="s">
        <v>373</v>
      </c>
      <c r="G70" s="0"/>
      <c r="H70" s="0"/>
    </row>
    <row r="71">
      <c r="A71" s="0" t="s">
        <v>406</v>
      </c>
      <c r="B71" s="0" t="s">
        <v>262</v>
      </c>
      <c r="C71" s="0">
        <v>0</v>
      </c>
      <c r="D71" s="0"/>
      <c r="E71" s="0"/>
      <c r="F71" s="0" t="s">
        <v>373</v>
      </c>
      <c r="G71" s="0"/>
      <c r="H71" s="0"/>
    </row>
    <row r="72">
      <c r="A72" s="0" t="s">
        <v>407</v>
      </c>
      <c r="B72" s="0" t="s">
        <v>262</v>
      </c>
      <c r="C72" s="0">
        <v>3.1440565239293008</v>
      </c>
      <c r="D72" s="0"/>
      <c r="E72" s="0"/>
      <c r="F72" s="0" t="s">
        <v>373</v>
      </c>
      <c r="G72" s="0"/>
      <c r="H72" s="0"/>
    </row>
    <row r="73">
      <c r="A73" s="0" t="s">
        <v>408</v>
      </c>
      <c r="B73" s="0" t="s">
        <v>262</v>
      </c>
      <c r="C73" s="0">
        <v>0</v>
      </c>
      <c r="D73" s="0"/>
      <c r="E73" s="0"/>
      <c r="F73" s="0" t="s">
        <v>373</v>
      </c>
      <c r="G73" s="0"/>
      <c r="H73" s="0"/>
    </row>
    <row r="74">
      <c r="A74" s="0" t="s">
        <v>409</v>
      </c>
      <c r="B74" s="0" t="s">
        <v>262</v>
      </c>
      <c r="C74" s="0">
        <v>4.0384177193853699</v>
      </c>
      <c r="D74" s="0"/>
      <c r="E74" s="0"/>
      <c r="F74" s="0" t="s">
        <v>373</v>
      </c>
      <c r="G74" s="0"/>
      <c r="H74" s="0"/>
    </row>
    <row r="75">
      <c r="A75" s="0" t="s">
        <v>410</v>
      </c>
      <c r="B75" s="0" t="s">
        <v>262</v>
      </c>
      <c r="C75" s="0">
        <v>4.2642001554802445</v>
      </c>
      <c r="D75" s="0"/>
      <c r="E75" s="0"/>
      <c r="F75" s="0" t="s">
        <v>373</v>
      </c>
      <c r="G75" s="0"/>
      <c r="H75" s="0"/>
    </row>
    <row r="76">
      <c r="A76" s="0" t="s">
        <v>411</v>
      </c>
      <c r="B76" s="0" t="s">
        <v>262</v>
      </c>
      <c r="C76" s="0">
        <v>20.030037363180274</v>
      </c>
      <c r="D76" s="0"/>
      <c r="E76" s="0"/>
      <c r="F76" s="0" t="s">
        <v>373</v>
      </c>
      <c r="G76" s="0"/>
      <c r="H76" s="0"/>
    </row>
    <row r="77">
      <c r="A77" s="0" t="s">
        <v>478</v>
      </c>
      <c r="B77" s="0" t="s">
        <v>262</v>
      </c>
      <c r="C77" s="0">
        <v>35.45139356315093</v>
      </c>
      <c r="D77" s="0"/>
      <c r="E77" s="0"/>
      <c r="F77" s="0" t="s">
        <v>373</v>
      </c>
      <c r="G77" s="0"/>
      <c r="H77" s="0"/>
    </row>
    <row r="78">
      <c r="A78" s="0" t="s">
        <v>412</v>
      </c>
      <c r="B78" s="0" t="s">
        <v>262</v>
      </c>
      <c r="C78" s="0">
        <v>15.012608974676267</v>
      </c>
      <c r="D78" s="0"/>
      <c r="E78" s="0"/>
      <c r="F78" s="0" t="s">
        <v>373</v>
      </c>
      <c r="G78" s="0"/>
      <c r="H78" s="0"/>
    </row>
    <row r="79">
      <c r="A79" s="0" t="s">
        <v>413</v>
      </c>
      <c r="B79" s="0" t="s">
        <v>262</v>
      </c>
      <c r="C79" s="0">
        <v>0.37465680840420212</v>
      </c>
      <c r="D79" s="0"/>
      <c r="E79" s="0"/>
      <c r="F79" s="0" t="s">
        <v>373</v>
      </c>
      <c r="G79" s="0"/>
      <c r="H79" s="0"/>
    </row>
    <row r="80">
      <c r="A80" s="0" t="s">
        <v>414</v>
      </c>
      <c r="B80" s="0" t="s">
        <v>262</v>
      </c>
      <c r="C80" s="0" t="s">
        <v>486</v>
      </c>
      <c r="D80" s="0"/>
      <c r="E80" s="0"/>
      <c r="F80" s="0" t="s">
        <v>373</v>
      </c>
      <c r="G80" s="0"/>
      <c r="H80" s="0"/>
    </row>
    <row r="81">
      <c r="A81" s="0" t="s">
        <v>415</v>
      </c>
      <c r="B81" s="0" t="s">
        <v>262</v>
      </c>
      <c r="C81" s="0">
        <v>212.40828934291398</v>
      </c>
      <c r="D81" s="0"/>
      <c r="E81" s="0"/>
      <c r="F81" s="0" t="s">
        <v>373</v>
      </c>
      <c r="G81" s="0"/>
      <c r="H81" s="0"/>
    </row>
    <row r="82">
      <c r="A82" s="0" t="s">
        <v>416</v>
      </c>
      <c r="B82" s="0" t="s">
        <v>262</v>
      </c>
      <c r="C82" s="0">
        <v>0.249319539769885</v>
      </c>
      <c r="D82" s="0"/>
      <c r="E82" s="0"/>
      <c r="F82" s="0" t="s">
        <v>373</v>
      </c>
      <c r="G82" s="0"/>
      <c r="H82" s="0"/>
    </row>
    <row r="83">
      <c r="A83" s="0" t="s">
        <v>417</v>
      </c>
      <c r="B83" s="0" t="s">
        <v>262</v>
      </c>
      <c r="C83" s="0" t="s">
        <v>449</v>
      </c>
      <c r="D83" s="0"/>
      <c r="E83" s="0"/>
      <c r="F83" s="0" t="s">
        <v>373</v>
      </c>
      <c r="G83" s="0"/>
      <c r="H83" s="0"/>
    </row>
    <row r="84">
      <c r="A84" s="0" t="s">
        <v>418</v>
      </c>
      <c r="B84" s="0" t="s">
        <v>262</v>
      </c>
      <c r="C84" s="0">
        <v>10.267281451281038</v>
      </c>
      <c r="D84" s="0"/>
      <c r="E84" s="0"/>
      <c r="F84" s="0" t="s">
        <v>373</v>
      </c>
      <c r="G84" s="0"/>
      <c r="H84" s="0"/>
    </row>
    <row r="85">
      <c r="A85" s="0" t="s">
        <v>419</v>
      </c>
      <c r="B85" s="0" t="s">
        <v>262</v>
      </c>
      <c r="C85" s="0">
        <v>326.51898965771625</v>
      </c>
      <c r="D85" s="0"/>
      <c r="E85" s="0"/>
      <c r="F85" s="0" t="s">
        <v>373</v>
      </c>
      <c r="G85" s="0"/>
      <c r="H85" s="0"/>
    </row>
    <row r="86">
      <c r="A86" s="0" t="s">
        <v>420</v>
      </c>
      <c r="B86" s="0" t="s">
        <v>262</v>
      </c>
      <c r="C86" s="0">
        <v>20.972017420164953</v>
      </c>
      <c r="D86" s="0"/>
      <c r="E86" s="0"/>
      <c r="F86" s="0" t="s">
        <v>373</v>
      </c>
      <c r="G86" s="0"/>
      <c r="H86" s="0"/>
    </row>
    <row r="87">
      <c r="A87" s="0" t="s">
        <v>421</v>
      </c>
      <c r="B87" s="0" t="s">
        <v>262</v>
      </c>
      <c r="C87" s="0">
        <v>0.30965445458432234</v>
      </c>
      <c r="D87" s="0"/>
      <c r="E87" s="0"/>
      <c r="F87" s="0" t="s">
        <v>373</v>
      </c>
      <c r="G87" s="0"/>
      <c r="H87" s="0"/>
    </row>
    <row r="88">
      <c r="A88" s="0" t="s">
        <v>422</v>
      </c>
      <c r="B88" s="0" t="s">
        <v>262</v>
      </c>
      <c r="C88" s="0">
        <v>3.4500000000000002</v>
      </c>
      <c r="D88" s="0"/>
      <c r="E88" s="0"/>
      <c r="F88" s="0" t="s">
        <v>373</v>
      </c>
      <c r="G88" s="0"/>
      <c r="H88" s="0"/>
    </row>
    <row r="89">
      <c r="A89" s="0" t="s">
        <v>423</v>
      </c>
      <c r="B89" s="0" t="s">
        <v>262</v>
      </c>
      <c r="C89" s="0">
        <v>33.844500000000004</v>
      </c>
      <c r="D89" s="0"/>
      <c r="E89" s="0"/>
      <c r="F89" s="0" t="s">
        <v>373</v>
      </c>
      <c r="G89" s="0"/>
      <c r="H89" s="0"/>
    </row>
    <row r="90">
      <c r="A90" s="0" t="s">
        <v>424</v>
      </c>
      <c r="B90" s="0" t="s">
        <v>262</v>
      </c>
      <c r="C90" s="0">
        <v>16.616876525517039</v>
      </c>
      <c r="D90" s="0"/>
      <c r="E90" s="0"/>
      <c r="F90" s="0" t="s">
        <v>373</v>
      </c>
      <c r="G90" s="0"/>
      <c r="H90" s="0"/>
    </row>
    <row r="91">
      <c r="A91" s="0" t="s">
        <v>425</v>
      </c>
      <c r="B91" s="0" t="s">
        <v>262</v>
      </c>
      <c r="C91" s="0">
        <v>0.06610000000000002</v>
      </c>
      <c r="D91" s="0"/>
      <c r="E91" s="0"/>
      <c r="F91" s="0" t="s">
        <v>373</v>
      </c>
      <c r="G91" s="0"/>
      <c r="H91" s="0"/>
    </row>
    <row r="92">
      <c r="A92" s="0" t="s">
        <v>426</v>
      </c>
      <c r="B92" s="0" t="s">
        <v>262</v>
      </c>
      <c r="C92" s="0">
        <v>51.753621214228787</v>
      </c>
      <c r="D92" s="0"/>
      <c r="E92" s="0"/>
      <c r="F92" s="0" t="s">
        <v>373</v>
      </c>
      <c r="G92" s="0"/>
      <c r="H92" s="0"/>
    </row>
    <row r="93">
      <c r="A93" s="0" t="s">
        <v>488</v>
      </c>
      <c r="B93" s="0" t="s">
        <v>262</v>
      </c>
      <c r="C93" s="0">
        <v>187.37976175990084</v>
      </c>
      <c r="D93" s="0"/>
      <c r="E93" s="0"/>
      <c r="F93" s="0" t="s">
        <v>373</v>
      </c>
      <c r="G93" s="0"/>
      <c r="H93" s="0"/>
    </row>
    <row r="94">
      <c r="A94" s="0" t="s">
        <v>489</v>
      </c>
      <c r="B94" s="0" t="s">
        <v>262</v>
      </c>
      <c r="C94" s="0">
        <v>3.6132044457873325</v>
      </c>
      <c r="D94" s="0"/>
      <c r="E94" s="0"/>
      <c r="F94" s="0" t="s">
        <v>373</v>
      </c>
      <c r="G94" s="0"/>
      <c r="H94" s="0"/>
    </row>
    <row r="95">
      <c r="A95" s="0" t="s">
        <v>490</v>
      </c>
      <c r="B95" s="0" t="s">
        <v>262</v>
      </c>
      <c r="C95" s="0">
        <v>4.7705848249219471</v>
      </c>
      <c r="D95" s="0"/>
      <c r="E95" s="0"/>
      <c r="F95" s="0" t="s">
        <v>373</v>
      </c>
      <c r="G95" s="0"/>
      <c r="H95" s="0"/>
    </row>
    <row r="96">
      <c r="A96" s="0" t="s">
        <v>491</v>
      </c>
      <c r="B96" s="0" t="s">
        <v>262</v>
      </c>
      <c r="C96" s="0">
        <v>187.56185794535233</v>
      </c>
      <c r="D96" s="0"/>
      <c r="E96" s="0"/>
      <c r="F96" s="0" t="s">
        <v>373</v>
      </c>
      <c r="G96" s="0"/>
      <c r="H96" s="0"/>
    </row>
    <row r="97">
      <c r="A97" s="0" t="s">
        <v>492</v>
      </c>
      <c r="B97" s="0" t="s">
        <v>262</v>
      </c>
      <c r="C97" s="0">
        <v>8.3837892707092792</v>
      </c>
      <c r="D97" s="0"/>
      <c r="E97" s="0"/>
      <c r="F97" s="0" t="s">
        <v>373</v>
      </c>
      <c r="G97" s="0"/>
      <c r="H97" s="0"/>
    </row>
    <row r="98">
      <c r="A98" s="0" t="s">
        <v>479</v>
      </c>
      <c r="B98" s="0" t="s">
        <v>262</v>
      </c>
      <c r="C98" s="0">
        <v>0.28490943009434955</v>
      </c>
      <c r="D98" s="0"/>
      <c r="E98" s="0"/>
      <c r="F98" s="0" t="s">
        <v>373</v>
      </c>
      <c r="G98" s="0"/>
      <c r="H98" s="0"/>
    </row>
    <row r="99">
      <c r="A99" s="0" t="s">
        <v>480</v>
      </c>
      <c r="B99" s="0" t="s">
        <v>262</v>
      </c>
      <c r="C99" s="0">
        <v>21.185672133939995</v>
      </c>
      <c r="D99" s="0"/>
      <c r="E99" s="0"/>
      <c r="F99" s="0" t="s">
        <v>373</v>
      </c>
      <c r="G99" s="0"/>
      <c r="H99" s="0"/>
    </row>
    <row r="100">
      <c r="A100" s="0" t="s">
        <v>515</v>
      </c>
      <c r="B100" s="0" t="s">
        <v>262</v>
      </c>
      <c r="C100" s="0">
        <v>3.2572356329449734</v>
      </c>
      <c r="D100" s="0"/>
      <c r="E100" s="0"/>
      <c r="F100" s="0" t="s">
        <v>373</v>
      </c>
      <c r="G100" s="0"/>
      <c r="H100" s="0"/>
    </row>
    <row r="101">
      <c r="A101" s="0" t="s">
        <v>516</v>
      </c>
      <c r="B101" s="0" t="s">
        <v>262</v>
      </c>
      <c r="C101" s="0">
        <v>0.021413306509411177</v>
      </c>
      <c r="D101" s="0"/>
      <c r="E101" s="0"/>
      <c r="F101" s="0" t="s">
        <v>373</v>
      </c>
      <c r="G101" s="0"/>
      <c r="H101" s="0"/>
    </row>
    <row r="102">
      <c r="A102" s="0" t="s">
        <v>493</v>
      </c>
      <c r="B102" s="0" t="s">
        <v>262</v>
      </c>
      <c r="C102" s="0">
        <v>132.06638762187376</v>
      </c>
      <c r="D102" s="0"/>
      <c r="E102" s="0"/>
      <c r="F102" s="0" t="s">
        <v>373</v>
      </c>
      <c r="G102" s="0"/>
      <c r="H102" s="0"/>
    </row>
    <row r="103">
      <c r="A103" s="0" t="s">
        <v>494</v>
      </c>
      <c r="B103" s="0" t="s">
        <v>262</v>
      </c>
      <c r="C103" s="0">
        <v>1.7348334176336859</v>
      </c>
      <c r="D103" s="0"/>
      <c r="E103" s="0"/>
      <c r="F103" s="0" t="s">
        <v>373</v>
      </c>
      <c r="G103" s="0"/>
      <c r="H103" s="0"/>
    </row>
    <row r="104">
      <c r="A104" s="0" t="s">
        <v>495</v>
      </c>
      <c r="B104" s="0" t="s">
        <v>262</v>
      </c>
      <c r="C104" s="0">
        <v>16.801230569262913</v>
      </c>
      <c r="D104" s="0"/>
      <c r="E104" s="0"/>
      <c r="F104" s="0" t="s">
        <v>373</v>
      </c>
      <c r="G104" s="0"/>
      <c r="H104" s="0"/>
    </row>
    <row r="105">
      <c r="A105" s="0" t="s">
        <v>496</v>
      </c>
      <c r="B105" s="0" t="s">
        <v>262</v>
      </c>
      <c r="C105" s="0">
        <v>135.23451772907541</v>
      </c>
      <c r="D105" s="0"/>
      <c r="E105" s="0"/>
      <c r="F105" s="0" t="s">
        <v>373</v>
      </c>
      <c r="G105" s="0"/>
      <c r="H105" s="0"/>
    </row>
    <row r="106">
      <c r="A106" s="0" t="s">
        <v>497</v>
      </c>
      <c r="B106" s="0" t="s">
        <v>262</v>
      </c>
      <c r="C106" s="0">
        <v>18.5360639868966</v>
      </c>
      <c r="D106" s="0"/>
      <c r="E106" s="0"/>
      <c r="F106" s="0" t="s">
        <v>373</v>
      </c>
      <c r="G106" s="0"/>
      <c r="H106" s="0"/>
    </row>
    <row r="107">
      <c r="A107" s="0" t="s">
        <v>481</v>
      </c>
      <c r="B107" s="0" t="s">
        <v>262</v>
      </c>
      <c r="C107" s="0">
        <v>0.78208939586572002</v>
      </c>
      <c r="D107" s="0"/>
      <c r="E107" s="0"/>
      <c r="F107" s="0" t="s">
        <v>373</v>
      </c>
      <c r="G107" s="0"/>
      <c r="H107" s="0"/>
    </row>
    <row r="108">
      <c r="A108" s="0" t="s">
        <v>482</v>
      </c>
      <c r="B108" s="0" t="s">
        <v>262</v>
      </c>
      <c r="C108" s="0">
        <v>9.0344927667214545</v>
      </c>
      <c r="D108" s="0"/>
      <c r="E108" s="0"/>
      <c r="F108" s="0" t="s">
        <v>373</v>
      </c>
      <c r="G108" s="0"/>
      <c r="H108" s="0"/>
    </row>
    <row r="109">
      <c r="A109" s="0" t="s">
        <v>498</v>
      </c>
      <c r="B109" s="0" t="s">
        <v>262</v>
      </c>
      <c r="C109" s="0">
        <v>0.44649527207558037</v>
      </c>
      <c r="D109" s="0"/>
      <c r="E109" s="0"/>
      <c r="F109" s="0" t="s">
        <v>373</v>
      </c>
      <c r="G109" s="0"/>
      <c r="H109" s="0"/>
    </row>
    <row r="110">
      <c r="A110" s="0" t="s">
        <v>499</v>
      </c>
      <c r="B110" s="0" t="s">
        <v>262</v>
      </c>
      <c r="C110" s="0">
        <v>0.33971840603738035</v>
      </c>
      <c r="D110" s="0"/>
      <c r="E110" s="0"/>
      <c r="F110" s="0" t="s">
        <v>373</v>
      </c>
      <c r="G110" s="0"/>
      <c r="H110" s="0"/>
    </row>
    <row r="111">
      <c r="A111" s="0" t="s">
        <v>500</v>
      </c>
      <c r="B111" s="0" t="s">
        <v>262</v>
      </c>
      <c r="C111" s="0">
        <v>0.081749748131056677</v>
      </c>
      <c r="D111" s="0"/>
      <c r="E111" s="0"/>
      <c r="F111" s="0" t="s">
        <v>373</v>
      </c>
      <c r="G111" s="0"/>
      <c r="H111" s="0"/>
    </row>
    <row r="112">
      <c r="A112" s="0" t="s">
        <v>501</v>
      </c>
      <c r="B112" s="0" t="s">
        <v>262</v>
      </c>
      <c r="C112" s="0">
        <v>0.42146815416843703</v>
      </c>
      <c r="D112" s="0"/>
      <c r="E112" s="0"/>
      <c r="F112" s="0" t="s">
        <v>373</v>
      </c>
      <c r="G112" s="0"/>
      <c r="H112" s="0"/>
    </row>
    <row r="113">
      <c r="A113" s="0" t="s">
        <v>483</v>
      </c>
      <c r="B113" s="0" t="s">
        <v>262</v>
      </c>
      <c r="C113" s="0">
        <v>66.189961184900866</v>
      </c>
      <c r="D113" s="0"/>
      <c r="E113" s="0"/>
      <c r="F113" s="0" t="s">
        <v>373</v>
      </c>
      <c r="G113" s="0"/>
      <c r="H113" s="0"/>
    </row>
    <row r="114">
      <c r="A114" s="0" t="s">
        <v>484</v>
      </c>
      <c r="B114" s="0" t="s">
        <v>262</v>
      </c>
      <c r="C114" s="0">
        <v>21.540255784553029</v>
      </c>
      <c r="D114" s="0"/>
      <c r="E114" s="0"/>
      <c r="F114" s="0" t="s">
        <v>373</v>
      </c>
      <c r="G114" s="0"/>
      <c r="H114" s="0"/>
    </row>
    <row r="115">
      <c r="A115" s="0" t="s">
        <v>502</v>
      </c>
      <c r="B115" s="0" t="s">
        <v>262</v>
      </c>
      <c r="C115" s="0">
        <v>218.40883179007071</v>
      </c>
      <c r="D115" s="0"/>
      <c r="E115" s="0"/>
      <c r="F115" s="0" t="s">
        <v>373</v>
      </c>
      <c r="G115" s="0"/>
      <c r="H115" s="0"/>
    </row>
    <row r="116">
      <c r="A116" s="0" t="s">
        <v>503</v>
      </c>
      <c r="B116" s="0" t="s">
        <v>262</v>
      </c>
      <c r="C116" s="0">
        <v>2.0390874260879071</v>
      </c>
      <c r="D116" s="0"/>
      <c r="E116" s="0"/>
      <c r="F116" s="0" t="s">
        <v>373</v>
      </c>
      <c r="G116" s="0"/>
      <c r="H116" s="0"/>
    </row>
    <row r="117">
      <c r="A117" s="0" t="s">
        <v>504</v>
      </c>
      <c r="B117" s="0" t="s">
        <v>262</v>
      </c>
      <c r="C117" s="0">
        <v>2.5664962607528876</v>
      </c>
      <c r="D117" s="0"/>
      <c r="E117" s="0"/>
      <c r="F117" s="0" t="s">
        <v>373</v>
      </c>
      <c r="G117" s="0"/>
      <c r="H117" s="0"/>
    </row>
    <row r="118">
      <c r="A118" s="0" t="s">
        <v>510</v>
      </c>
      <c r="B118" s="0" t="s">
        <v>262</v>
      </c>
      <c r="C118" s="0">
        <v>0.09322873564385592</v>
      </c>
      <c r="D118" s="0"/>
      <c r="E118" s="0"/>
      <c r="F118" s="0" t="s">
        <v>373</v>
      </c>
      <c r="G118" s="0"/>
      <c r="H118" s="0"/>
    </row>
    <row r="119">
      <c r="A119" s="0" t="s">
        <v>485</v>
      </c>
      <c r="B119" s="0" t="s">
        <v>262</v>
      </c>
      <c r="C119" s="0">
        <v>71.472344045198994</v>
      </c>
      <c r="D119" s="0"/>
      <c r="E119" s="0"/>
      <c r="F119" s="0" t="s">
        <v>373</v>
      </c>
      <c r="G119" s="0"/>
      <c r="H119" s="0"/>
    </row>
    <row r="120">
      <c r="A120" s="0" t="s">
        <v>511</v>
      </c>
      <c r="B120" s="0" t="s">
        <v>262</v>
      </c>
      <c r="C120" s="0">
        <v>45.201028121855607</v>
      </c>
      <c r="D120" s="0"/>
      <c r="E120" s="0"/>
      <c r="F120" s="0" t="s">
        <v>373</v>
      </c>
      <c r="G120" s="0"/>
      <c r="H120" s="0"/>
    </row>
    <row r="121">
      <c r="A121" s="0" t="s">
        <v>512</v>
      </c>
      <c r="B121" s="0" t="s">
        <v>262</v>
      </c>
      <c r="C121" s="0">
        <v>4.3115242766986404</v>
      </c>
      <c r="D121" s="0"/>
      <c r="E121" s="0"/>
      <c r="F121" s="0" t="s">
        <v>373</v>
      </c>
      <c r="G121" s="0"/>
      <c r="H121" s="0"/>
    </row>
    <row r="122">
      <c r="A122" s="0" t="s">
        <v>519</v>
      </c>
      <c r="B122" s="0" t="s">
        <v>262</v>
      </c>
      <c r="C122" s="0">
        <v>0.67096596630813199</v>
      </c>
      <c r="D122" s="0"/>
      <c r="E122" s="0"/>
      <c r="F122" s="0" t="s">
        <v>373</v>
      </c>
      <c r="G122" s="0"/>
      <c r="H122" s="0"/>
    </row>
    <row r="123">
      <c r="A123" s="0" t="s">
        <v>513</v>
      </c>
      <c r="B123" s="0" t="s">
        <v>262</v>
      </c>
      <c r="C123" s="0">
        <v>221.3736775163259</v>
      </c>
      <c r="D123" s="0"/>
      <c r="E123" s="0"/>
      <c r="F123" s="0" t="s">
        <v>373</v>
      </c>
      <c r="G123" s="0"/>
      <c r="H123" s="0"/>
    </row>
    <row r="124">
      <c r="A124" s="0" t="s">
        <v>514</v>
      </c>
      <c r="B124" s="0" t="s">
        <v>262</v>
      </c>
      <c r="C124" s="0">
        <v>0.91083185492502383</v>
      </c>
      <c r="D124" s="0"/>
      <c r="E124" s="0"/>
      <c r="F124" s="0" t="s">
        <v>373</v>
      </c>
      <c r="G124" s="0"/>
      <c r="H124" s="0"/>
    </row>
    <row r="125">
      <c r="A125" s="0" t="s">
        <v>427</v>
      </c>
      <c r="B125" s="0" t="s">
        <v>447</v>
      </c>
      <c r="C125" s="0">
        <v>0.29999999999999999</v>
      </c>
      <c r="D125" s="0"/>
      <c r="E125" s="0"/>
      <c r="F125" s="0" t="s">
        <v>373</v>
      </c>
      <c r="G125" s="0"/>
      <c r="H125" s="0"/>
    </row>
    <row r="126">
      <c r="A126" s="0" t="s">
        <v>428</v>
      </c>
      <c r="B126" s="0" t="s">
        <v>447</v>
      </c>
      <c r="C126" s="0">
        <v>23.639551123511705</v>
      </c>
      <c r="D126" s="0"/>
      <c r="E126" s="0"/>
      <c r="F126" s="0" t="s">
        <v>373</v>
      </c>
      <c r="G126" s="0"/>
      <c r="H126" s="0"/>
    </row>
    <row r="127">
      <c r="A127" s="0" t="s">
        <v>429</v>
      </c>
      <c r="B127" s="0" t="s">
        <v>447</v>
      </c>
      <c r="C127" s="0">
        <v>6.3604488764882952</v>
      </c>
      <c r="D127" s="0"/>
      <c r="E127" s="0"/>
      <c r="F127" s="0" t="s">
        <v>373</v>
      </c>
      <c r="G127" s="0"/>
      <c r="H127" s="0"/>
    </row>
    <row r="128">
      <c r="A128" s="0" t="s">
        <v>430</v>
      </c>
      <c r="B128" s="0" t="s">
        <v>447</v>
      </c>
      <c r="C128" s="0">
        <v>0.25</v>
      </c>
      <c r="D128" s="0"/>
      <c r="E128" s="0"/>
      <c r="F128" s="0" t="s">
        <v>373</v>
      </c>
      <c r="G128" s="0"/>
      <c r="H128" s="0"/>
    </row>
    <row r="129">
      <c r="A129" s="0" t="s">
        <v>431</v>
      </c>
      <c r="B129" s="0" t="s">
        <v>447</v>
      </c>
      <c r="C129" s="0">
        <v>0.69999999999999996</v>
      </c>
      <c r="D129" s="0"/>
      <c r="E129" s="0"/>
      <c r="F129" s="0" t="s">
        <v>373</v>
      </c>
      <c r="G129" s="0"/>
      <c r="H129" s="0"/>
    </row>
    <row r="130">
      <c r="A130" s="0" t="s">
        <v>432</v>
      </c>
      <c r="B130" s="0" t="s">
        <v>447</v>
      </c>
      <c r="C130" s="0">
        <v>1</v>
      </c>
      <c r="D130" s="0"/>
      <c r="E130" s="0"/>
      <c r="F130" s="0" t="s">
        <v>373</v>
      </c>
      <c r="G130" s="0"/>
      <c r="H130" s="0"/>
    </row>
    <row r="131">
      <c r="A131" s="0" t="s">
        <v>433</v>
      </c>
      <c r="B131" s="0" t="s">
        <v>447</v>
      </c>
      <c r="C131" s="0">
        <v>0.12045311700495778</v>
      </c>
      <c r="D131" s="0"/>
      <c r="E131" s="0"/>
      <c r="F131" s="0" t="s">
        <v>373</v>
      </c>
      <c r="G131" s="0"/>
      <c r="H131" s="0"/>
    </row>
    <row r="132">
      <c r="A132" s="0" t="s">
        <v>434</v>
      </c>
      <c r="B132" s="0" t="s">
        <v>447</v>
      </c>
      <c r="C132" s="0">
        <v>119.62522404871252</v>
      </c>
      <c r="D132" s="0"/>
      <c r="E132" s="0"/>
      <c r="F132" s="0" t="s">
        <v>373</v>
      </c>
      <c r="G132" s="0"/>
      <c r="H132" s="0"/>
    </row>
    <row r="133">
      <c r="A133" s="0" t="s">
        <v>435</v>
      </c>
      <c r="B133" s="0" t="s">
        <v>447</v>
      </c>
      <c r="C133" s="0">
        <v>0.067349999999999993</v>
      </c>
      <c r="D133" s="0"/>
      <c r="E133" s="0"/>
      <c r="F133" s="0" t="s">
        <v>373</v>
      </c>
      <c r="G133" s="0"/>
      <c r="H133" s="0"/>
    </row>
    <row r="134">
      <c r="A134" s="0" t="s">
        <v>436</v>
      </c>
      <c r="B134" s="0" t="s">
        <v>447</v>
      </c>
      <c r="C134" s="0">
        <v>1.0700000000000001</v>
      </c>
      <c r="D134" s="0"/>
      <c r="E134" s="0"/>
      <c r="F134" s="0" t="s">
        <v>373</v>
      </c>
      <c r="G134" s="0"/>
      <c r="H134" s="0"/>
    </row>
    <row r="135">
      <c r="A135" s="0" t="s">
        <v>437</v>
      </c>
      <c r="B135" s="0" t="s">
        <v>447</v>
      </c>
      <c r="C135" s="0">
        <v>0.29999999999999999</v>
      </c>
      <c r="D135" s="0"/>
      <c r="E135" s="0"/>
      <c r="F135" s="0" t="s">
        <v>373</v>
      </c>
      <c r="G135" s="0"/>
      <c r="H135" s="0"/>
    </row>
    <row r="136">
      <c r="A136" s="0" t="s">
        <v>438</v>
      </c>
      <c r="B136" s="0" t="s">
        <v>447</v>
      </c>
      <c r="C136" s="0">
        <v>29.162154556467332</v>
      </c>
      <c r="D136" s="0"/>
      <c r="E136" s="0"/>
      <c r="F136" s="0" t="s">
        <v>373</v>
      </c>
      <c r="G136" s="0"/>
      <c r="H136" s="0"/>
    </row>
    <row r="137">
      <c r="A137" s="0" t="s">
        <v>439</v>
      </c>
      <c r="B137" s="0" t="s">
        <v>447</v>
      </c>
      <c r="C137" s="0">
        <v>0.83784544353266455</v>
      </c>
      <c r="D137" s="0"/>
      <c r="E137" s="0"/>
      <c r="F137" s="0" t="s">
        <v>373</v>
      </c>
      <c r="G137" s="0"/>
      <c r="H137" s="0"/>
    </row>
    <row r="138">
      <c r="A138" s="0" t="s">
        <v>440</v>
      </c>
      <c r="B138" s="0" t="s">
        <v>447</v>
      </c>
      <c r="C138" s="0">
        <v>5.5014426931229465</v>
      </c>
      <c r="D138" s="0"/>
      <c r="E138" s="0"/>
      <c r="F138" s="0" t="s">
        <v>373</v>
      </c>
      <c r="G138" s="0"/>
      <c r="H138" s="0"/>
    </row>
    <row r="139">
      <c r="A139" s="0" t="s">
        <v>441</v>
      </c>
      <c r="B139" s="0" t="s">
        <v>447</v>
      </c>
      <c r="C139" s="0">
        <v>0.37994765995305757</v>
      </c>
      <c r="D139" s="0"/>
      <c r="E139" s="0"/>
      <c r="F139" s="0" t="s">
        <v>373</v>
      </c>
      <c r="G139" s="0"/>
      <c r="H139" s="0"/>
    </row>
    <row r="140">
      <c r="A140" s="0" t="s">
        <v>442</v>
      </c>
      <c r="B140" s="0" t="s">
        <v>447</v>
      </c>
      <c r="C140" s="0">
        <v>0.15</v>
      </c>
      <c r="D140" s="0"/>
      <c r="E140" s="0"/>
      <c r="F140" s="0" t="s">
        <v>373</v>
      </c>
      <c r="G140" s="0"/>
      <c r="H140" s="0"/>
    </row>
    <row r="141">
      <c r="A141" s="0" t="s">
        <v>443</v>
      </c>
      <c r="B141" s="0" t="s">
        <v>447</v>
      </c>
      <c r="C141" s="0">
        <v>-0.82521640396844198</v>
      </c>
      <c r="D141" s="0"/>
      <c r="E141" s="0"/>
      <c r="F141" s="0" t="s">
        <v>373</v>
      </c>
      <c r="G141" s="0"/>
      <c r="H141" s="0"/>
    </row>
    <row r="142">
      <c r="A142" s="0" t="s">
        <v>444</v>
      </c>
      <c r="B142" s="0" t="s">
        <v>447</v>
      </c>
      <c r="C142" s="0">
        <v>0.12602616170797043</v>
      </c>
      <c r="D142" s="0"/>
      <c r="E142" s="0"/>
      <c r="F142" s="0" t="s">
        <v>373</v>
      </c>
      <c r="G142" s="0"/>
      <c r="H142" s="0"/>
    </row>
    <row r="143">
      <c r="A143" s="0" t="s">
        <v>445</v>
      </c>
      <c r="B143" s="0" t="s">
        <v>447</v>
      </c>
      <c r="C143" s="0">
        <v>5</v>
      </c>
      <c r="D143" s="0"/>
      <c r="E143" s="0"/>
      <c r="F143" s="0" t="s">
        <v>373</v>
      </c>
      <c r="G143" s="0"/>
      <c r="H143" s="0"/>
    </row>
    <row r="144">
      <c r="A144" s="0" t="s">
        <v>446</v>
      </c>
      <c r="B144" s="0" t="s">
        <v>447</v>
      </c>
      <c r="C144" s="0">
        <v>-0.19135499116614826</v>
      </c>
      <c r="D144" s="0"/>
      <c r="E144" s="0"/>
      <c r="F144" s="0" t="s">
        <v>373</v>
      </c>
      <c r="G144" s="0"/>
      <c r="H144" s="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B22" sqref="B22"/>
    </sheetView>
  </sheetViews>
  <sheetFormatPr defaultColWidth="8.7109375" defaultRowHeight="15" x14ac:dyDescent="0.25"/>
  <cols>
    <col min="1" max="1" width="32.42578125" customWidth="1"/>
    <col min="2" max="3" width="32.42578125" style="20" customWidth="1"/>
    <col min="4" max="4" width="13.28515625" style="20" customWidth="1"/>
  </cols>
  <sheetData>
    <row r="1" spans="1:4" x14ac:dyDescent="0.25">
      <c r="A1" s="18" t="s">
        <v>271</v>
      </c>
      <c r="B1" s="19" t="s">
        <v>272</v>
      </c>
      <c r="C1" s="19" t="s">
        <v>291</v>
      </c>
      <c r="D1" s="19" t="s">
        <v>300</v>
      </c>
    </row>
    <row r="2" spans="1:4" x14ac:dyDescent="0.25">
      <c r="A2" t="s">
        <v>273</v>
      </c>
      <c r="B2" s="27">
        <v>25.9</v>
      </c>
      <c r="C2" s="27">
        <v>0</v>
      </c>
      <c r="D2" s="27">
        <v>0.06</v>
      </c>
    </row>
    <row r="3" spans="1:4" x14ac:dyDescent="0.25">
      <c r="A3" s="21" t="s">
        <v>274</v>
      </c>
      <c r="B3" s="27">
        <v>210</v>
      </c>
      <c r="C3" s="27">
        <v>2.1999999999999999E-2</v>
      </c>
      <c r="D3" s="27">
        <v>0.06</v>
      </c>
    </row>
    <row r="4" spans="1:4" x14ac:dyDescent="0.25">
      <c r="A4" t="s">
        <v>275</v>
      </c>
      <c r="B4" s="27">
        <v>74.599999999999994</v>
      </c>
      <c r="C4" s="27">
        <v>7.0000000000000007E-2</v>
      </c>
      <c r="D4" s="27">
        <v>5.6000000000000001E-2</v>
      </c>
    </row>
    <row r="5" spans="1:4" x14ac:dyDescent="0.25">
      <c r="A5" t="s">
        <v>276</v>
      </c>
      <c r="B5" s="27">
        <v>96.2</v>
      </c>
      <c r="C5" s="27">
        <v>0.13600000000000001</v>
      </c>
      <c r="D5" s="27">
        <v>1.7999999999999999E-2</v>
      </c>
    </row>
    <row r="6" spans="1:4" x14ac:dyDescent="0.25">
      <c r="A6" s="21" t="s">
        <v>301</v>
      </c>
      <c r="B6" s="27">
        <v>9</v>
      </c>
      <c r="C6" s="27">
        <v>1.254</v>
      </c>
      <c r="D6" s="27">
        <v>-2.1999999999999999E-2</v>
      </c>
    </row>
    <row r="7" spans="1:4" x14ac:dyDescent="0.25">
      <c r="A7" t="s">
        <v>277</v>
      </c>
      <c r="B7" s="27">
        <v>451</v>
      </c>
      <c r="C7" s="27">
        <v>0.17199999999999999</v>
      </c>
      <c r="D7" s="27">
        <v>4.9000000000000002E-2</v>
      </c>
    </row>
    <row r="8" spans="1:4" x14ac:dyDescent="0.25">
      <c r="A8" t="s">
        <v>278</v>
      </c>
      <c r="B8" s="27">
        <v>119.9</v>
      </c>
      <c r="C8" s="27">
        <v>0.437</v>
      </c>
      <c r="D8" s="27">
        <v>5.2999999999999999E-2</v>
      </c>
    </row>
    <row r="9" spans="1:4" x14ac:dyDescent="0.25">
      <c r="A9" t="s">
        <v>279</v>
      </c>
      <c r="B9" s="27">
        <v>44.7</v>
      </c>
      <c r="C9" s="27">
        <v>0.56499999999999995</v>
      </c>
      <c r="D9" s="27">
        <v>8.6999999999999994E-2</v>
      </c>
    </row>
    <row r="10" spans="1:4" x14ac:dyDescent="0.25">
      <c r="A10" t="s">
        <v>280</v>
      </c>
      <c r="B10" s="27">
        <v>0.05</v>
      </c>
      <c r="C10" s="27">
        <v>0.33200000000000002</v>
      </c>
      <c r="D10" s="27">
        <v>0.125</v>
      </c>
    </row>
    <row r="11" spans="1:4" x14ac:dyDescent="0.25">
      <c r="A11" t="s">
        <v>281</v>
      </c>
      <c r="B11" s="27">
        <v>20.7</v>
      </c>
      <c r="C11" s="27">
        <v>0.46200000000000002</v>
      </c>
      <c r="D11" s="27">
        <v>0.14599999999999999</v>
      </c>
    </row>
    <row r="12" spans="1:4" x14ac:dyDescent="0.25">
      <c r="A12" t="s">
        <v>282</v>
      </c>
      <c r="B12" s="27">
        <v>20.7</v>
      </c>
      <c r="C12" s="27">
        <v>0.46200000000000002</v>
      </c>
      <c r="D12" s="27">
        <v>0.14599999999999999</v>
      </c>
    </row>
    <row r="13" spans="1:4" x14ac:dyDescent="0.25">
      <c r="A13" t="s">
        <v>283</v>
      </c>
      <c r="B13" s="27">
        <v>520</v>
      </c>
      <c r="C13" s="27">
        <v>0.32700000000000001</v>
      </c>
      <c r="D13" s="27">
        <v>3.2000000000000001E-2</v>
      </c>
    </row>
    <row r="14" spans="1:4" x14ac:dyDescent="0.25">
      <c r="A14" t="s">
        <v>284</v>
      </c>
      <c r="B14" s="27">
        <v>688.5</v>
      </c>
      <c r="C14" s="27">
        <v>0.39500000000000002</v>
      </c>
      <c r="D14" s="27">
        <v>0.126</v>
      </c>
    </row>
    <row r="15" spans="1:4" x14ac:dyDescent="0.25">
      <c r="A15" s="21" t="s">
        <v>285</v>
      </c>
      <c r="B15" s="27">
        <v>256</v>
      </c>
      <c r="C15" s="27">
        <v>0.249</v>
      </c>
      <c r="D15" s="27">
        <v>-4.3999999999999997E-2</v>
      </c>
    </row>
    <row r="16" spans="1:4" x14ac:dyDescent="0.25">
      <c r="A16" t="s">
        <v>286</v>
      </c>
      <c r="B16" s="27">
        <v>763.7</v>
      </c>
      <c r="C16" s="27">
        <v>0.29799999999999999</v>
      </c>
      <c r="D16" s="27">
        <v>4.5999999999999999E-2</v>
      </c>
    </row>
    <row r="17" spans="1:4" x14ac:dyDescent="0.25">
      <c r="A17" t="s">
        <v>287</v>
      </c>
      <c r="B17" s="27">
        <v>22</v>
      </c>
      <c r="C17" s="27">
        <v>1.1879999999999999</v>
      </c>
      <c r="D17" s="27">
        <v>0.11700000000000001</v>
      </c>
    </row>
    <row r="18" spans="1:4" x14ac:dyDescent="0.25">
      <c r="A18" t="s">
        <v>288</v>
      </c>
      <c r="B18" s="27">
        <v>23.3</v>
      </c>
      <c r="C18" s="27">
        <v>1.1850000000000001</v>
      </c>
      <c r="D18" s="27">
        <v>7.2999999999999995E-2</v>
      </c>
    </row>
    <row r="19" spans="1:4" x14ac:dyDescent="0.25">
      <c r="A19" t="s">
        <v>290</v>
      </c>
      <c r="B19" s="27">
        <v>31.3</v>
      </c>
      <c r="C19" s="27">
        <v>1.2070000000000001</v>
      </c>
      <c r="D19" s="27">
        <v>7.6999999999999999E-2</v>
      </c>
    </row>
    <row r="20" spans="1:4" x14ac:dyDescent="0.25">
      <c r="A20" t="s">
        <v>289</v>
      </c>
      <c r="B20" s="27">
        <v>13.9</v>
      </c>
      <c r="C20" s="27">
        <v>1.2050000000000001</v>
      </c>
      <c r="D20" s="27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109375" defaultRowHeight="15" x14ac:dyDescent="0.25"/>
  <cols>
    <col min="1" max="1" width="48.140625" style="2" customWidth="1"/>
    <col min="2" max="4" width="15.7109375" style="2" customWidth="1"/>
    <col min="5" max="5" width="3.7109375" style="2" customWidth="1"/>
    <col min="6" max="6" width="46.7109375" style="2" customWidth="1"/>
    <col min="7" max="16384" width="8.7109375" style="2"/>
  </cols>
  <sheetData>
    <row r="1" spans="1:6" ht="18.75" x14ac:dyDescent="0.3">
      <c r="A1" s="1" t="s">
        <v>204</v>
      </c>
    </row>
    <row r="2" spans="1:6" x14ac:dyDescent="0.25">
      <c r="A2" s="3" t="s">
        <v>241</v>
      </c>
    </row>
    <row r="4" spans="1:6" x14ac:dyDescent="0.25">
      <c r="A4" s="4" t="s">
        <v>205</v>
      </c>
      <c r="B4" s="4" t="s">
        <v>206</v>
      </c>
      <c r="C4" s="4" t="s">
        <v>207</v>
      </c>
      <c r="D4" s="4" t="s">
        <v>208</v>
      </c>
    </row>
    <row r="5" spans="1:6" x14ac:dyDescent="0.25">
      <c r="A5" s="2" t="s">
        <v>209</v>
      </c>
      <c r="B5" s="5">
        <f>(Inputs!C19*Inputs!C78/Inputs!C73)/(Inputs!C26-Inputs!C27)</f>
        <v>0.25088584136397335</v>
      </c>
      <c r="C5" s="15">
        <v>0.19600000000000001</v>
      </c>
      <c r="D5" s="15">
        <v>0.19600000000000001</v>
      </c>
      <c r="F5" s="3" t="s">
        <v>210</v>
      </c>
    </row>
    <row r="6" spans="1:6" x14ac:dyDescent="0.25">
      <c r="A6" s="2" t="s">
        <v>211</v>
      </c>
      <c r="B6" s="6">
        <f>Inputs!C58</f>
        <v>0.25</v>
      </c>
      <c r="C6" s="6">
        <f>Inputs!C54</f>
        <v>0.3</v>
      </c>
      <c r="D6" s="6">
        <f>Inputs!C56</f>
        <v>0.3</v>
      </c>
      <c r="F6" s="3" t="s">
        <v>212</v>
      </c>
    </row>
    <row r="7" spans="1:6" x14ac:dyDescent="0.25">
      <c r="A7" s="2" t="s">
        <v>213</v>
      </c>
      <c r="B7" s="5">
        <f>B6*B5</f>
        <v>6.2721460340993337E-2</v>
      </c>
      <c r="C7" s="5">
        <f>C6*C5</f>
        <v>5.8799999999999998E-2</v>
      </c>
      <c r="D7" s="5">
        <f>D6*D5</f>
        <v>5.8799999999999998E-2</v>
      </c>
      <c r="F7" s="3" t="s">
        <v>242</v>
      </c>
    </row>
    <row r="8" spans="1:6" x14ac:dyDescent="0.25">
      <c r="A8" s="2" t="s">
        <v>214</v>
      </c>
      <c r="B8" s="5">
        <f>(Inputs!C60-Inputs!C59)*Inputs!C26/2</f>
        <v>0.22500000000000003</v>
      </c>
      <c r="C8" s="15">
        <v>0.53900000000000003</v>
      </c>
      <c r="D8" s="15">
        <v>0.24299999999999999</v>
      </c>
      <c r="F8" s="3" t="s">
        <v>243</v>
      </c>
    </row>
    <row r="9" spans="1:6" x14ac:dyDescent="0.25">
      <c r="A9" s="2" t="s">
        <v>215</v>
      </c>
      <c r="B9" s="7">
        <f>Inputs!C61</f>
        <v>15</v>
      </c>
      <c r="C9" s="16">
        <f>Inputs!C55</f>
        <v>30</v>
      </c>
      <c r="D9" s="7">
        <f>Inputs!C57</f>
        <v>30</v>
      </c>
      <c r="F9" s="3" t="s">
        <v>216</v>
      </c>
    </row>
    <row r="10" spans="1:6" x14ac:dyDescent="0.25">
      <c r="A10" s="2" t="s">
        <v>217</v>
      </c>
      <c r="B10" s="8">
        <v>0</v>
      </c>
      <c r="C10" s="8">
        <v>1</v>
      </c>
      <c r="D10" s="8">
        <v>0</v>
      </c>
      <c r="F10" s="3" t="s">
        <v>218</v>
      </c>
    </row>
    <row r="11" spans="1:6" x14ac:dyDescent="0.25">
      <c r="A11" s="2" t="s">
        <v>219</v>
      </c>
      <c r="B11" s="9">
        <v>23</v>
      </c>
      <c r="C11" s="9">
        <v>23</v>
      </c>
      <c r="D11" s="9">
        <v>23</v>
      </c>
      <c r="F11" s="3" t="s">
        <v>244</v>
      </c>
    </row>
    <row r="12" spans="1:6" x14ac:dyDescent="0.25">
      <c r="A12" s="2" t="s">
        <v>220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221</v>
      </c>
    </row>
    <row r="13" spans="1:6" x14ac:dyDescent="0.25">
      <c r="A13" s="2" t="s">
        <v>222</v>
      </c>
      <c r="B13" s="8">
        <v>1</v>
      </c>
      <c r="C13" s="8">
        <v>1</v>
      </c>
      <c r="D13" s="8">
        <v>1</v>
      </c>
      <c r="F13" s="3" t="s">
        <v>223</v>
      </c>
    </row>
    <row r="14" spans="1:6" x14ac:dyDescent="0.25">
      <c r="A14" s="2" t="s">
        <v>254</v>
      </c>
      <c r="B14" s="17">
        <f>Inputs!C93</f>
        <v>1</v>
      </c>
      <c r="C14" s="17">
        <f>Inputs!C94</f>
        <v>1.2</v>
      </c>
      <c r="D14" s="17">
        <f>Inputs!C95</f>
        <v>1</v>
      </c>
      <c r="F14" s="3" t="s">
        <v>256</v>
      </c>
    </row>
    <row r="15" spans="1:6" x14ac:dyDescent="0.25">
      <c r="A15" s="2" t="s">
        <v>255</v>
      </c>
      <c r="B15" s="17">
        <f>Inputs!C96</f>
        <v>0.85</v>
      </c>
      <c r="C15" s="17">
        <f>Inputs!C96</f>
        <v>0.85</v>
      </c>
      <c r="D15" s="17">
        <f>Inputs!C96</f>
        <v>0.85</v>
      </c>
      <c r="F15" s="3" t="s">
        <v>257</v>
      </c>
    </row>
    <row r="16" spans="1:6" x14ac:dyDescent="0.25">
      <c r="A16" s="4" t="s">
        <v>224</v>
      </c>
      <c r="B16" s="4"/>
      <c r="C16" s="4"/>
      <c r="D16" s="4"/>
    </row>
    <row r="17" spans="1:4" x14ac:dyDescent="0.25">
      <c r="A17" s="2" t="s">
        <v>225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5">
      <c r="A18" s="2" t="s">
        <v>226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5">
      <c r="A19" s="2" t="s">
        <v>227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5">
      <c r="A20" s="2" t="s">
        <v>228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5">
      <c r="A21" s="4" t="s">
        <v>229</v>
      </c>
      <c r="B21" s="4"/>
      <c r="C21" s="4"/>
      <c r="D21" s="4"/>
    </row>
    <row r="22" spans="1:4" x14ac:dyDescent="0.25">
      <c r="A22" s="2" t="s">
        <v>230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5">
      <c r="A23" s="2" t="s">
        <v>231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5">
      <c r="A24" s="2" t="s">
        <v>232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5">
      <c r="A25" s="2" t="s">
        <v>233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5">
      <c r="A26" s="2" t="s">
        <v>234</v>
      </c>
      <c r="B26" s="5">
        <f>B7*B8</f>
        <v>1.4112328576723503E-2</v>
      </c>
      <c r="C26" s="5">
        <f>C7*C8</f>
        <v>3.1693199999999998E-2</v>
      </c>
      <c r="D26" s="5">
        <f>D7*D8</f>
        <v>1.42884E-2</v>
      </c>
    </row>
    <row r="27" spans="1:4" x14ac:dyDescent="0.25">
      <c r="A27" s="11" t="s">
        <v>235</v>
      </c>
      <c r="B27" s="12">
        <f>B24*B25*B26*B7</f>
        <v>-7.0849499149422762E-2</v>
      </c>
      <c r="C27" s="12">
        <f>C24*C25*C26*C7</f>
        <v>-0.31183149980507596</v>
      </c>
      <c r="D27" s="12">
        <f>D24*D25*D26*D7</f>
        <v>-0.13760360258695806</v>
      </c>
    </row>
    <row r="28" spans="1:4" x14ac:dyDescent="0.25">
      <c r="A28" s="2" t="s">
        <v>236</v>
      </c>
      <c r="B28" s="6">
        <f>ABS(B27)*B13</f>
        <v>7.0849499149422762E-2</v>
      </c>
      <c r="C28" s="6">
        <f>ABS(C27)*C13</f>
        <v>0.31183149980507596</v>
      </c>
      <c r="D28" s="6">
        <f>ABS(D27)*D13</f>
        <v>0.13760360258695806</v>
      </c>
    </row>
    <row r="29" spans="1:4" x14ac:dyDescent="0.25">
      <c r="A29" s="11" t="s">
        <v>237</v>
      </c>
      <c r="B29" s="13">
        <f>B28*B14/B15*141.612</f>
        <v>11.803693262997713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5">
      <c r="A30" s="4" t="s">
        <v>238</v>
      </c>
      <c r="B30" s="4"/>
      <c r="C30" s="4"/>
      <c r="D30" s="4"/>
    </row>
    <row r="31" spans="1:4" x14ac:dyDescent="0.25">
      <c r="A31" s="2" t="s">
        <v>239</v>
      </c>
      <c r="B31" s="14"/>
      <c r="C31" s="14"/>
      <c r="D31" s="14"/>
    </row>
    <row r="32" spans="1:4" x14ac:dyDescent="0.25">
      <c r="A32" s="2" t="s">
        <v>240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5" x14ac:dyDescent="0.25"/>
  <cols>
    <col min="3" max="3" width="11.5703125" customWidth="1"/>
    <col min="6" max="6" width="142.42578125" customWidth="1"/>
  </cols>
  <sheetData>
    <row r="109" spans="3:6" x14ac:dyDescent="0.25">
      <c r="C109">
        <v>11.941543440928031</v>
      </c>
      <c r="F109" t="s">
        <v>374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Jackson Thomas Preisler</cp:lastModifiedBy>
  <dcterms:created xsi:type="dcterms:W3CDTF">2015-06-05T18:17:20Z</dcterms:created>
  <dcterms:modified xsi:type="dcterms:W3CDTF">2026-10-22T22:31:26Z</dcterms:modified>
</cp:coreProperties>
</file>