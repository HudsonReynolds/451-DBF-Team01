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aa8977d2236823/Documents/GitHub/451-DBF-Team01/"/>
    </mc:Choice>
  </mc:AlternateContent>
  <xr:revisionPtr revIDLastSave="0" documentId="8_{4F9BFBA7-F26D-42CB-ABF2-EEEE17C86100}" xr6:coauthVersionLast="47" xr6:coauthVersionMax="47" xr10:uidLastSave="{00000000-0000-0000-0000-000000000000}"/>
  <bookViews>
    <workbookView xWindow="-108" yWindow="-108" windowWidth="23256" windowHeight="13896" xr2:uid="{F4A03229-04F1-460E-8686-83F0337269E2}"/>
  </bookViews>
  <sheets>
    <sheet name="Conducto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3" i="2"/>
  <c r="L3" i="2" s="1"/>
  <c r="K3" i="2" s="1"/>
  <c r="M3" i="2" s="1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L32" i="2" s="1"/>
  <c r="K32" i="2" s="1"/>
  <c r="M32" i="2" s="1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L46" i="2" s="1"/>
  <c r="K46" i="2" s="1"/>
  <c r="M46" i="2" s="1"/>
  <c r="F47" i="2"/>
  <c r="F48" i="2"/>
  <c r="F49" i="2"/>
  <c r="F50" i="2"/>
  <c r="F51" i="2"/>
  <c r="L51" i="2" s="1"/>
  <c r="K51" i="2" s="1"/>
  <c r="M51" i="2" s="1"/>
  <c r="F52" i="2"/>
  <c r="L52" i="2" s="1"/>
  <c r="K52" i="2" s="1"/>
  <c r="M52" i="2" s="1"/>
  <c r="F18" i="2"/>
  <c r="L18" i="2" s="1"/>
  <c r="K18" i="2" s="1"/>
  <c r="M18" i="2" s="1"/>
  <c r="F17" i="2"/>
  <c r="F16" i="2"/>
  <c r="F15" i="2"/>
  <c r="F14" i="2"/>
  <c r="F13" i="2"/>
  <c r="F12" i="2"/>
  <c r="F11" i="2"/>
  <c r="F10" i="2"/>
  <c r="F9" i="2"/>
  <c r="F8" i="2"/>
  <c r="F7" i="2"/>
  <c r="F6" i="2"/>
  <c r="L6" i="2" s="1"/>
  <c r="K6" i="2" s="1"/>
  <c r="M6" i="2" s="1"/>
  <c r="F5" i="2"/>
  <c r="L5" i="2" s="1"/>
  <c r="K5" i="2" s="1"/>
  <c r="M5" i="2" s="1"/>
  <c r="F4" i="2"/>
  <c r="L4" i="2" s="1"/>
  <c r="K4" i="2" s="1"/>
  <c r="M4" i="2" s="1"/>
  <c r="F3" i="2"/>
  <c r="J4" i="2"/>
  <c r="J5" i="2"/>
  <c r="J6" i="2"/>
  <c r="J7" i="2"/>
  <c r="J8" i="2"/>
  <c r="J9" i="2"/>
  <c r="J10" i="2"/>
  <c r="L10" i="2" s="1"/>
  <c r="K10" i="2" s="1"/>
  <c r="M10" i="2" s="1"/>
  <c r="J11" i="2"/>
  <c r="J12" i="2"/>
  <c r="J13" i="2"/>
  <c r="J14" i="2"/>
  <c r="J15" i="2"/>
  <c r="J16" i="2"/>
  <c r="J17" i="2"/>
  <c r="L17" i="2" s="1"/>
  <c r="K17" i="2" s="1"/>
  <c r="M17" i="2" s="1"/>
  <c r="J18" i="2"/>
  <c r="J19" i="2"/>
  <c r="J20" i="2"/>
  <c r="J21" i="2"/>
  <c r="J22" i="2"/>
  <c r="J23" i="2"/>
  <c r="J24" i="2"/>
  <c r="J25" i="2"/>
  <c r="J26" i="2"/>
  <c r="J27" i="2"/>
  <c r="L27" i="2" s="1"/>
  <c r="K27" i="2" s="1"/>
  <c r="M27" i="2" s="1"/>
  <c r="J28" i="2"/>
  <c r="L28" i="2" s="1"/>
  <c r="K28" i="2" s="1"/>
  <c r="M28" i="2" s="1"/>
  <c r="J29" i="2"/>
  <c r="L29" i="2" s="1"/>
  <c r="K29" i="2" s="1"/>
  <c r="M29" i="2" s="1"/>
  <c r="J30" i="2"/>
  <c r="L30" i="2" s="1"/>
  <c r="K30" i="2" s="1"/>
  <c r="M30" i="2" s="1"/>
  <c r="J31" i="2"/>
  <c r="J32" i="2"/>
  <c r="J33" i="2"/>
  <c r="J34" i="2"/>
  <c r="J35" i="2"/>
  <c r="J36" i="2"/>
  <c r="J37" i="2"/>
  <c r="J38" i="2"/>
  <c r="J39" i="2"/>
  <c r="J40" i="2"/>
  <c r="J41" i="2"/>
  <c r="L41" i="2" s="1"/>
  <c r="K41" i="2" s="1"/>
  <c r="M41" i="2" s="1"/>
  <c r="J42" i="2"/>
  <c r="L42" i="2" s="1"/>
  <c r="K42" i="2" s="1"/>
  <c r="M42" i="2" s="1"/>
  <c r="J43" i="2"/>
  <c r="L43" i="2" s="1"/>
  <c r="K43" i="2" s="1"/>
  <c r="M43" i="2" s="1"/>
  <c r="J44" i="2"/>
  <c r="L44" i="2" s="1"/>
  <c r="K44" i="2" s="1"/>
  <c r="M44" i="2" s="1"/>
  <c r="J45" i="2"/>
  <c r="J46" i="2"/>
  <c r="J47" i="2"/>
  <c r="J48" i="2"/>
  <c r="J49" i="2"/>
  <c r="J50" i="2"/>
  <c r="J51" i="2"/>
  <c r="J52" i="2"/>
  <c r="L47" i="2"/>
  <c r="K47" i="2" s="1"/>
  <c r="M47" i="2" s="1"/>
  <c r="L48" i="2"/>
  <c r="K48" i="2" s="1"/>
  <c r="M48" i="2" s="1"/>
  <c r="L49" i="2"/>
  <c r="K49" i="2" s="1"/>
  <c r="M49" i="2" s="1"/>
  <c r="L50" i="2"/>
  <c r="K50" i="2" s="1"/>
  <c r="M50" i="2" s="1"/>
  <c r="L7" i="2"/>
  <c r="K7" i="2" s="1"/>
  <c r="M7" i="2" s="1"/>
  <c r="L8" i="2"/>
  <c r="K8" i="2" s="1"/>
  <c r="M8" i="2" s="1"/>
  <c r="L19" i="2"/>
  <c r="K19" i="2" s="1"/>
  <c r="M19" i="2" s="1"/>
  <c r="L20" i="2"/>
  <c r="K20" i="2" s="1"/>
  <c r="M20" i="2" s="1"/>
  <c r="L21" i="2"/>
  <c r="K21" i="2" s="1"/>
  <c r="M21" i="2" s="1"/>
  <c r="L22" i="2"/>
  <c r="K22" i="2" s="1"/>
  <c r="M22" i="2" s="1"/>
  <c r="L33" i="2"/>
  <c r="K33" i="2" s="1"/>
  <c r="M33" i="2" s="1"/>
  <c r="L34" i="2"/>
  <c r="K34" i="2" s="1"/>
  <c r="M34" i="2" s="1"/>
  <c r="L35" i="2"/>
  <c r="K35" i="2" s="1"/>
  <c r="M35" i="2" s="1"/>
  <c r="L36" i="2"/>
  <c r="K36" i="2" s="1"/>
  <c r="M36" i="2" s="1"/>
  <c r="J3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L45" i="2" l="1"/>
  <c r="K45" i="2" s="1"/>
  <c r="M45" i="2" s="1"/>
  <c r="L31" i="2"/>
  <c r="K31" i="2" s="1"/>
  <c r="M31" i="2" s="1"/>
  <c r="L40" i="2"/>
  <c r="K40" i="2" s="1"/>
  <c r="M40" i="2" s="1"/>
  <c r="L26" i="2"/>
  <c r="K26" i="2" s="1"/>
  <c r="M26" i="2" s="1"/>
  <c r="L38" i="2"/>
  <c r="K38" i="2" s="1"/>
  <c r="M38" i="2" s="1"/>
  <c r="L24" i="2"/>
  <c r="K24" i="2" s="1"/>
  <c r="M24" i="2" s="1"/>
  <c r="L39" i="2"/>
  <c r="K39" i="2" s="1"/>
  <c r="M39" i="2" s="1"/>
  <c r="L25" i="2"/>
  <c r="K25" i="2" s="1"/>
  <c r="M25" i="2" s="1"/>
  <c r="L37" i="2"/>
  <c r="K37" i="2" s="1"/>
  <c r="M37" i="2" s="1"/>
  <c r="L23" i="2"/>
  <c r="K23" i="2" s="1"/>
  <c r="M23" i="2" s="1"/>
  <c r="L9" i="2"/>
  <c r="K9" i="2" s="1"/>
  <c r="M9" i="2" s="1"/>
  <c r="L16" i="2"/>
  <c r="K16" i="2" s="1"/>
  <c r="M16" i="2" s="1"/>
  <c r="L15" i="2"/>
  <c r="K15" i="2" s="1"/>
  <c r="M15" i="2" s="1"/>
  <c r="L14" i="2"/>
  <c r="K14" i="2" s="1"/>
  <c r="M14" i="2" s="1"/>
  <c r="L13" i="2"/>
  <c r="K13" i="2" s="1"/>
  <c r="M13" i="2" s="1"/>
  <c r="L12" i="2"/>
  <c r="K12" i="2" s="1"/>
  <c r="M12" i="2" s="1"/>
  <c r="L11" i="2"/>
  <c r="K11" i="2" s="1"/>
  <c r="M11" i="2" s="1"/>
</calcChain>
</file>

<file path=xl/sharedStrings.xml><?xml version="1.0" encoding="utf-8"?>
<sst xmlns="http://schemas.openxmlformats.org/spreadsheetml/2006/main" count="59" uniqueCount="42">
  <si>
    <t>Flight Controller</t>
  </si>
  <si>
    <t>Pitot Probe</t>
  </si>
  <si>
    <t>Airspeed Sensor</t>
  </si>
  <si>
    <t>GPS and Compass</t>
  </si>
  <si>
    <t>Receiver</t>
  </si>
  <si>
    <t>Flight Servo 4</t>
  </si>
  <si>
    <t>Flight Servo 3</t>
  </si>
  <si>
    <t>Flight Servo 2</t>
  </si>
  <si>
    <t>Flight Servo 1</t>
  </si>
  <si>
    <t>Gold (Au)</t>
  </si>
  <si>
    <t>Power Module</t>
  </si>
  <si>
    <t>Copper-clad aluminum (CCA)</t>
  </si>
  <si>
    <t>Speec Controller (ESC) with BEC 2</t>
  </si>
  <si>
    <t>Aluminum (Al)</t>
  </si>
  <si>
    <t>Speec Controller (ESC) with BEC 1</t>
  </si>
  <si>
    <t>Pure silver (Ag)</t>
  </si>
  <si>
    <t>Motor 2</t>
  </si>
  <si>
    <t>Nickel-plated copper (Cu+Ni plating)</t>
  </si>
  <si>
    <t>Motor 1</t>
  </si>
  <si>
    <t>Silver-plated copper (Cu+Ag plating)</t>
  </si>
  <si>
    <t>`</t>
  </si>
  <si>
    <t>Tinned copper (Cu+Sn plating)</t>
  </si>
  <si>
    <t>Bare/annealed copper (Cu)</t>
  </si>
  <si>
    <t>Battery</t>
  </si>
  <si>
    <t>Area m2</t>
  </si>
  <si>
    <t>Area (mm2)</t>
  </si>
  <si>
    <t>Diameter (mm)</t>
  </si>
  <si>
    <t>AWG</t>
  </si>
  <si>
    <t>Density (kg/m3)</t>
  </si>
  <si>
    <t>Material</t>
  </si>
  <si>
    <t>Mass (kg)</t>
  </si>
  <si>
    <t>Mass (g)</t>
  </si>
  <si>
    <t>Length (m)</t>
  </si>
  <si>
    <t>Length (mm)</t>
  </si>
  <si>
    <t>Material Density (kg/m3)</t>
  </si>
  <si>
    <t>Cores</t>
  </si>
  <si>
    <t>Gauge Area (m2)</t>
  </si>
  <si>
    <t>Gauge</t>
  </si>
  <si>
    <t>To</t>
  </si>
  <si>
    <t>From</t>
  </si>
  <si>
    <t>Run #</t>
  </si>
  <si>
    <t>Insulation Included Mass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</si>
</sst>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13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11" fontId="2" fillId="0" borderId="1" xfId="1" applyNumberFormat="1" applyBorder="1" applyAlignment="1">
      <alignment horizontal="center"/>
    </xf>
    <xf numFmtId="0" fontId="2" fillId="0" borderId="1" xfId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1" xfId="1" applyBorder="1" applyAlignment="1">
      <alignment horizontal="left"/>
    </xf>
    <xf numFmtId="11" fontId="2" fillId="0" borderId="0" xfId="1" applyNumberFormat="1" applyAlignment="1">
      <alignment horizontal="center"/>
    </xf>
    <xf numFmtId="0" fontId="2" fillId="0" borderId="0" xfId="1" applyNumberFormat="1" applyAlignment="1">
      <alignment horizontal="center"/>
    </xf>
    <xf numFmtId="0" fontId="1" fillId="0" borderId="1" xfId="1" applyFont="1" applyBorder="1" applyAlignment="1">
      <alignment horizontal="center"/>
    </xf>
    <xf numFmtId="0" fontId="1" fillId="0" borderId="1" xfId="1" applyFont="1" applyBorder="1" applyAlignment="1">
      <alignment horizontal="left"/>
    </xf>
    <xf numFmtId="0" fontId="3" fillId="2" borderId="0" xfId="1" applyFont="1" applyFill="1" applyAlignment="1">
      <alignment horizontal="center"/>
    </xf>
    <xf numFmtId="0" fontId="3" fillId="2" borderId="0" xfId="1" applyFont="1" applyFill="1"/>
  </cellXfs>
  <cellStyles count="2">
    <cellStyle name="Normal" xfId="0" builtinId="0"/>
    <cellStyle name="Normal 2" xfId="1" xr:uid="{A661338B-FC09-4A06-A4C5-389F79B999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BE398-A35A-4EC4-802E-A7EA1AA6716D}">
  <dimension ref="B2:X52"/>
  <sheetViews>
    <sheetView tabSelected="1" workbookViewId="0">
      <selection activeCell="D12" sqref="D12"/>
    </sheetView>
  </sheetViews>
  <sheetFormatPr defaultRowHeight="14.4" x14ac:dyDescent="0.3"/>
  <cols>
    <col min="1" max="1" width="8.88671875" style="1"/>
    <col min="2" max="2" width="12.5546875" style="2" customWidth="1"/>
    <col min="3" max="3" width="28.5546875" style="1" bestFit="1" customWidth="1"/>
    <col min="4" max="4" width="33.21875" style="1" customWidth="1"/>
    <col min="5" max="7" width="15.33203125" style="2" customWidth="1"/>
    <col min="8" max="8" width="22.33203125" style="2" bestFit="1" customWidth="1"/>
    <col min="9" max="12" width="15.33203125" style="2" customWidth="1"/>
    <col min="13" max="13" width="28.33203125" style="1" customWidth="1"/>
    <col min="14" max="15" width="8.88671875" style="1"/>
    <col min="16" max="16" width="30.77734375" style="1" bestFit="1" customWidth="1"/>
    <col min="17" max="17" width="16.88671875" style="1" customWidth="1"/>
    <col min="18" max="20" width="8.88671875" style="1"/>
    <col min="21" max="21" width="5.88671875" style="1" bestFit="1" customWidth="1"/>
    <col min="22" max="22" width="15.6640625" style="1" bestFit="1" customWidth="1"/>
    <col min="23" max="23" width="12.33203125" style="1" bestFit="1" customWidth="1"/>
    <col min="24" max="24" width="12" style="1" bestFit="1" customWidth="1"/>
    <col min="25" max="16384" width="8.88671875" style="1"/>
  </cols>
  <sheetData>
    <row r="2" spans="2:24" x14ac:dyDescent="0.3">
      <c r="B2" s="11" t="s">
        <v>40</v>
      </c>
      <c r="C2" s="12" t="s">
        <v>39</v>
      </c>
      <c r="D2" s="12" t="s">
        <v>38</v>
      </c>
      <c r="E2" s="11" t="s">
        <v>37</v>
      </c>
      <c r="F2" s="5" t="s">
        <v>36</v>
      </c>
      <c r="G2" s="11" t="s">
        <v>35</v>
      </c>
      <c r="H2" s="11" t="s">
        <v>34</v>
      </c>
      <c r="I2" s="11" t="s">
        <v>33</v>
      </c>
      <c r="J2" s="5" t="s">
        <v>32</v>
      </c>
      <c r="K2" s="5" t="s">
        <v>31</v>
      </c>
      <c r="L2" s="5" t="s">
        <v>30</v>
      </c>
      <c r="M2" s="5" t="s">
        <v>41</v>
      </c>
      <c r="P2" s="10" t="s">
        <v>29</v>
      </c>
      <c r="Q2" s="9" t="s">
        <v>28</v>
      </c>
      <c r="U2" s="9" t="s">
        <v>27</v>
      </c>
      <c r="V2" s="9" t="s">
        <v>26</v>
      </c>
      <c r="W2" s="9" t="s">
        <v>25</v>
      </c>
      <c r="X2" s="9" t="s">
        <v>24</v>
      </c>
    </row>
    <row r="3" spans="2:24" x14ac:dyDescent="0.3">
      <c r="B3" s="5">
        <v>1</v>
      </c>
      <c r="C3" s="1" t="s">
        <v>23</v>
      </c>
      <c r="D3" s="1" t="s">
        <v>10</v>
      </c>
      <c r="E3" s="2">
        <v>22</v>
      </c>
      <c r="F3" s="7">
        <f t="shared" ref="F3:F17" si="0">IFERROR(INDEX($X$3:$X$21,MATCH(E3,$U$3:$U$21,0)),"")</f>
        <v>3.255E-7</v>
      </c>
      <c r="G3" s="2">
        <v>2</v>
      </c>
      <c r="H3" s="2">
        <f>$Q$3</f>
        <v>8960</v>
      </c>
      <c r="I3" s="2">
        <v>50</v>
      </c>
      <c r="J3" s="2">
        <f>I3/1000</f>
        <v>0.05</v>
      </c>
      <c r="K3" s="8">
        <f>L3*1000</f>
        <v>0.29164800000000002</v>
      </c>
      <c r="L3" s="7">
        <f>F3*J3*H3*G3</f>
        <v>2.9164800000000004E-4</v>
      </c>
      <c r="M3" s="2">
        <f>K3*1.1</f>
        <v>0.32081280000000006</v>
      </c>
      <c r="P3" s="6" t="s">
        <v>22</v>
      </c>
      <c r="Q3" s="4">
        <v>8960</v>
      </c>
      <c r="U3" s="4">
        <v>36</v>
      </c>
      <c r="V3" s="4">
        <v>0.127</v>
      </c>
      <c r="W3" s="4">
        <v>1.2699999999999999E-2</v>
      </c>
      <c r="X3" s="3">
        <f t="shared" ref="X3:X21" si="1">W3/1000000</f>
        <v>1.27E-8</v>
      </c>
    </row>
    <row r="4" spans="2:24" x14ac:dyDescent="0.3">
      <c r="B4" s="5">
        <v>2</v>
      </c>
      <c r="C4" s="1" t="s">
        <v>10</v>
      </c>
      <c r="D4" s="1" t="s">
        <v>14</v>
      </c>
      <c r="E4" s="2">
        <v>22</v>
      </c>
      <c r="F4" s="2">
        <f t="shared" si="0"/>
        <v>3.255E-7</v>
      </c>
      <c r="H4" s="2">
        <f t="shared" ref="H4:H52" si="2">$Q$3</f>
        <v>8960</v>
      </c>
      <c r="J4" s="2">
        <f t="shared" ref="J4:J52" si="3">I4/1000</f>
        <v>0</v>
      </c>
      <c r="K4" s="8">
        <f t="shared" ref="K4:K52" si="4">L4*1000</f>
        <v>0</v>
      </c>
      <c r="L4" s="7">
        <f t="shared" ref="L4:L52" si="5">F4*J4*H4*G4</f>
        <v>0</v>
      </c>
      <c r="M4" s="2">
        <f t="shared" ref="M4:M51" si="6">K4*1.1</f>
        <v>0</v>
      </c>
      <c r="P4" s="6" t="s">
        <v>21</v>
      </c>
      <c r="Q4" s="4">
        <v>8940</v>
      </c>
      <c r="U4" s="4">
        <v>35</v>
      </c>
      <c r="V4" s="4">
        <v>0.14299999999999999</v>
      </c>
      <c r="W4" s="4">
        <v>1.6E-2</v>
      </c>
      <c r="X4" s="3">
        <f t="shared" si="1"/>
        <v>1.6000000000000001E-8</v>
      </c>
    </row>
    <row r="5" spans="2:24" x14ac:dyDescent="0.3">
      <c r="B5" s="5">
        <v>3</v>
      </c>
      <c r="C5" s="1" t="s">
        <v>10</v>
      </c>
      <c r="D5" s="1" t="s">
        <v>12</v>
      </c>
      <c r="E5" s="2">
        <v>24</v>
      </c>
      <c r="F5" s="2">
        <f t="shared" si="0"/>
        <v>2.047E-7</v>
      </c>
      <c r="G5" s="2" t="s">
        <v>20</v>
      </c>
      <c r="H5" s="2">
        <f t="shared" si="2"/>
        <v>8960</v>
      </c>
      <c r="J5" s="2">
        <f t="shared" si="3"/>
        <v>0</v>
      </c>
      <c r="K5" s="8" t="e">
        <f t="shared" si="4"/>
        <v>#VALUE!</v>
      </c>
      <c r="L5" s="7" t="e">
        <f>F5*J5*H5*G5</f>
        <v>#VALUE!</v>
      </c>
      <c r="M5" s="2" t="e">
        <f t="shared" si="6"/>
        <v>#VALUE!</v>
      </c>
      <c r="P5" s="6" t="s">
        <v>19</v>
      </c>
      <c r="Q5" s="4">
        <v>8970</v>
      </c>
      <c r="U5" s="4">
        <v>34</v>
      </c>
      <c r="V5" s="4">
        <v>0.16</v>
      </c>
      <c r="W5" s="4">
        <v>2.01E-2</v>
      </c>
      <c r="X5" s="3">
        <f t="shared" si="1"/>
        <v>2.0100000000000001E-8</v>
      </c>
    </row>
    <row r="6" spans="2:24" x14ac:dyDescent="0.3">
      <c r="B6" s="5">
        <v>4</v>
      </c>
      <c r="C6" s="1" t="s">
        <v>14</v>
      </c>
      <c r="D6" s="1" t="s">
        <v>18</v>
      </c>
      <c r="E6" s="2">
        <v>22</v>
      </c>
      <c r="F6" s="2">
        <f t="shared" si="0"/>
        <v>3.255E-7</v>
      </c>
      <c r="H6" s="2">
        <f t="shared" si="2"/>
        <v>8960</v>
      </c>
      <c r="J6" s="2">
        <f t="shared" si="3"/>
        <v>0</v>
      </c>
      <c r="K6" s="8">
        <f t="shared" si="4"/>
        <v>0</v>
      </c>
      <c r="L6" s="7">
        <f t="shared" si="5"/>
        <v>0</v>
      </c>
      <c r="M6" s="2">
        <f t="shared" si="6"/>
        <v>0</v>
      </c>
      <c r="P6" s="6" t="s">
        <v>17</v>
      </c>
      <c r="Q6" s="4">
        <v>8960</v>
      </c>
      <c r="U6" s="4">
        <v>33</v>
      </c>
      <c r="V6" s="4">
        <v>0.18</v>
      </c>
      <c r="W6" s="4">
        <v>2.5399999999999999E-2</v>
      </c>
      <c r="X6" s="3">
        <f t="shared" si="1"/>
        <v>2.5399999999999999E-8</v>
      </c>
    </row>
    <row r="7" spans="2:24" x14ac:dyDescent="0.3">
      <c r="B7" s="5">
        <v>5</v>
      </c>
      <c r="C7" s="1" t="s">
        <v>12</v>
      </c>
      <c r="D7" s="1" t="s">
        <v>16</v>
      </c>
      <c r="E7" s="2">
        <v>22</v>
      </c>
      <c r="F7" s="2">
        <f t="shared" si="0"/>
        <v>3.255E-7</v>
      </c>
      <c r="H7" s="2">
        <f t="shared" si="2"/>
        <v>8960</v>
      </c>
      <c r="J7" s="2">
        <f t="shared" si="3"/>
        <v>0</v>
      </c>
      <c r="K7" s="8">
        <f t="shared" si="4"/>
        <v>0</v>
      </c>
      <c r="L7" s="7">
        <f t="shared" si="5"/>
        <v>0</v>
      </c>
      <c r="M7" s="2">
        <f t="shared" si="6"/>
        <v>0</v>
      </c>
      <c r="P7" s="6" t="s">
        <v>15</v>
      </c>
      <c r="Q7" s="4">
        <v>10490</v>
      </c>
      <c r="U7" s="4">
        <v>32</v>
      </c>
      <c r="V7" s="4">
        <v>0.20200000000000001</v>
      </c>
      <c r="W7" s="4">
        <v>3.2000000000000001E-2</v>
      </c>
      <c r="X7" s="3">
        <f t="shared" si="1"/>
        <v>3.2000000000000002E-8</v>
      </c>
    </row>
    <row r="8" spans="2:24" x14ac:dyDescent="0.3">
      <c r="B8" s="5">
        <v>6</v>
      </c>
      <c r="C8" s="1" t="s">
        <v>14</v>
      </c>
      <c r="D8" s="1" t="s">
        <v>0</v>
      </c>
      <c r="E8" s="2">
        <v>22</v>
      </c>
      <c r="F8" s="2">
        <f t="shared" si="0"/>
        <v>3.255E-7</v>
      </c>
      <c r="H8" s="2">
        <f t="shared" si="2"/>
        <v>8960</v>
      </c>
      <c r="J8" s="2">
        <f t="shared" si="3"/>
        <v>0</v>
      </c>
      <c r="K8" s="8">
        <f t="shared" si="4"/>
        <v>0</v>
      </c>
      <c r="L8" s="7">
        <f t="shared" si="5"/>
        <v>0</v>
      </c>
      <c r="M8" s="2">
        <f t="shared" si="6"/>
        <v>0</v>
      </c>
      <c r="P8" s="6" t="s">
        <v>13</v>
      </c>
      <c r="Q8" s="4">
        <v>2700</v>
      </c>
      <c r="U8" s="4">
        <v>31</v>
      </c>
      <c r="V8" s="4">
        <v>0.22700000000000001</v>
      </c>
      <c r="W8" s="4">
        <v>4.0399999999999998E-2</v>
      </c>
      <c r="X8" s="3">
        <f t="shared" si="1"/>
        <v>4.0399999999999998E-8</v>
      </c>
    </row>
    <row r="9" spans="2:24" x14ac:dyDescent="0.3">
      <c r="B9" s="5">
        <v>7</v>
      </c>
      <c r="C9" s="1" t="s">
        <v>12</v>
      </c>
      <c r="D9" s="1" t="s">
        <v>0</v>
      </c>
      <c r="E9" s="2">
        <v>22</v>
      </c>
      <c r="F9" s="2">
        <f t="shared" si="0"/>
        <v>3.255E-7</v>
      </c>
      <c r="H9" s="2">
        <f t="shared" si="2"/>
        <v>8960</v>
      </c>
      <c r="J9" s="2">
        <f t="shared" si="3"/>
        <v>0</v>
      </c>
      <c r="K9" s="8">
        <f t="shared" si="4"/>
        <v>0</v>
      </c>
      <c r="L9" s="7">
        <f t="shared" si="5"/>
        <v>0</v>
      </c>
      <c r="M9" s="2">
        <f t="shared" si="6"/>
        <v>0</v>
      </c>
      <c r="P9" s="6" t="s">
        <v>11</v>
      </c>
      <c r="Q9" s="4">
        <v>3200</v>
      </c>
      <c r="U9" s="4">
        <v>30</v>
      </c>
      <c r="V9" s="4">
        <v>0.255</v>
      </c>
      <c r="W9" s="4">
        <v>5.0900000000000001E-2</v>
      </c>
      <c r="X9" s="3">
        <f t="shared" si="1"/>
        <v>5.0899999999999999E-8</v>
      </c>
    </row>
    <row r="10" spans="2:24" x14ac:dyDescent="0.3">
      <c r="B10" s="5">
        <v>8</v>
      </c>
      <c r="C10" s="1" t="s">
        <v>10</v>
      </c>
      <c r="D10" s="1" t="s">
        <v>0</v>
      </c>
      <c r="E10" s="2">
        <v>22</v>
      </c>
      <c r="F10" s="2">
        <f t="shared" si="0"/>
        <v>3.255E-7</v>
      </c>
      <c r="H10" s="2">
        <f t="shared" si="2"/>
        <v>8960</v>
      </c>
      <c r="J10" s="2">
        <f t="shared" si="3"/>
        <v>0</v>
      </c>
      <c r="K10" s="8">
        <f t="shared" si="4"/>
        <v>0</v>
      </c>
      <c r="L10" s="7">
        <f t="shared" si="5"/>
        <v>0</v>
      </c>
      <c r="M10" s="2">
        <f t="shared" si="6"/>
        <v>0</v>
      </c>
      <c r="P10" s="6" t="s">
        <v>9</v>
      </c>
      <c r="Q10" s="4">
        <v>19320</v>
      </c>
      <c r="U10" s="4">
        <v>29</v>
      </c>
      <c r="V10" s="4">
        <v>0.28599999999999998</v>
      </c>
      <c r="W10" s="4">
        <v>6.4199999999999993E-2</v>
      </c>
      <c r="X10" s="3">
        <f t="shared" si="1"/>
        <v>6.4199999999999993E-8</v>
      </c>
    </row>
    <row r="11" spans="2:24" x14ac:dyDescent="0.3">
      <c r="B11" s="5">
        <v>9</v>
      </c>
      <c r="C11" s="1" t="s">
        <v>0</v>
      </c>
      <c r="D11" s="1" t="s">
        <v>8</v>
      </c>
      <c r="E11" s="2">
        <v>22</v>
      </c>
      <c r="F11" s="2">
        <f t="shared" si="0"/>
        <v>3.255E-7</v>
      </c>
      <c r="H11" s="2">
        <f t="shared" si="2"/>
        <v>8960</v>
      </c>
      <c r="J11" s="2">
        <f t="shared" si="3"/>
        <v>0</v>
      </c>
      <c r="K11" s="8">
        <f t="shared" si="4"/>
        <v>0</v>
      </c>
      <c r="L11" s="7">
        <f t="shared" si="5"/>
        <v>0</v>
      </c>
      <c r="M11" s="2">
        <f t="shared" si="6"/>
        <v>0</v>
      </c>
      <c r="U11" s="4">
        <v>28</v>
      </c>
      <c r="V11" s="4">
        <v>0.32100000000000001</v>
      </c>
      <c r="W11" s="4">
        <v>8.1000000000000003E-2</v>
      </c>
      <c r="X11" s="3">
        <f t="shared" si="1"/>
        <v>8.0999999999999997E-8</v>
      </c>
    </row>
    <row r="12" spans="2:24" x14ac:dyDescent="0.3">
      <c r="B12" s="5">
        <v>10</v>
      </c>
      <c r="C12" s="1" t="s">
        <v>0</v>
      </c>
      <c r="D12" s="1" t="s">
        <v>7</v>
      </c>
      <c r="E12" s="2">
        <v>22</v>
      </c>
      <c r="F12" s="2">
        <f t="shared" si="0"/>
        <v>3.255E-7</v>
      </c>
      <c r="H12" s="2">
        <f t="shared" si="2"/>
        <v>8960</v>
      </c>
      <c r="J12" s="2">
        <f t="shared" si="3"/>
        <v>0</v>
      </c>
      <c r="K12" s="8">
        <f t="shared" si="4"/>
        <v>0</v>
      </c>
      <c r="L12" s="7">
        <f t="shared" si="5"/>
        <v>0</v>
      </c>
      <c r="M12" s="2">
        <f t="shared" si="6"/>
        <v>0</v>
      </c>
      <c r="U12" s="4">
        <v>27</v>
      </c>
      <c r="V12" s="4">
        <v>0.36099999999999999</v>
      </c>
      <c r="W12" s="4">
        <v>0.1021</v>
      </c>
      <c r="X12" s="3">
        <f t="shared" si="1"/>
        <v>1.0209999999999999E-7</v>
      </c>
    </row>
    <row r="13" spans="2:24" x14ac:dyDescent="0.3">
      <c r="B13" s="5">
        <v>11</v>
      </c>
      <c r="C13" s="1" t="s">
        <v>0</v>
      </c>
      <c r="D13" s="1" t="s">
        <v>6</v>
      </c>
      <c r="E13" s="2">
        <v>22</v>
      </c>
      <c r="F13" s="2">
        <f t="shared" si="0"/>
        <v>3.255E-7</v>
      </c>
      <c r="H13" s="2">
        <f t="shared" si="2"/>
        <v>8960</v>
      </c>
      <c r="J13" s="2">
        <f t="shared" si="3"/>
        <v>0</v>
      </c>
      <c r="K13" s="8">
        <f t="shared" si="4"/>
        <v>0</v>
      </c>
      <c r="L13" s="7">
        <f t="shared" si="5"/>
        <v>0</v>
      </c>
      <c r="M13" s="2">
        <f t="shared" si="6"/>
        <v>0</v>
      </c>
      <c r="U13" s="4">
        <v>26</v>
      </c>
      <c r="V13" s="4">
        <v>0.40500000000000003</v>
      </c>
      <c r="W13" s="4">
        <v>0.1288</v>
      </c>
      <c r="X13" s="3">
        <f t="shared" si="1"/>
        <v>1.2879999999999999E-7</v>
      </c>
    </row>
    <row r="14" spans="2:24" x14ac:dyDescent="0.3">
      <c r="B14" s="5">
        <v>12</v>
      </c>
      <c r="C14" s="1" t="s">
        <v>0</v>
      </c>
      <c r="D14" s="1" t="s">
        <v>5</v>
      </c>
      <c r="E14" s="2">
        <v>22</v>
      </c>
      <c r="F14" s="2">
        <f t="shared" si="0"/>
        <v>3.255E-7</v>
      </c>
      <c r="H14" s="2">
        <f t="shared" si="2"/>
        <v>8960</v>
      </c>
      <c r="J14" s="2">
        <f t="shared" si="3"/>
        <v>0</v>
      </c>
      <c r="K14" s="8">
        <f t="shared" si="4"/>
        <v>0</v>
      </c>
      <c r="L14" s="7">
        <f t="shared" si="5"/>
        <v>0</v>
      </c>
      <c r="M14" s="2">
        <f t="shared" si="6"/>
        <v>0</v>
      </c>
      <c r="U14" s="4">
        <v>25</v>
      </c>
      <c r="V14" s="4">
        <v>0.45500000000000002</v>
      </c>
      <c r="W14" s="4">
        <v>0.16239999999999999</v>
      </c>
      <c r="X14" s="3">
        <f t="shared" si="1"/>
        <v>1.624E-7</v>
      </c>
    </row>
    <row r="15" spans="2:24" x14ac:dyDescent="0.3">
      <c r="B15" s="5">
        <v>13</v>
      </c>
      <c r="C15" s="1" t="s">
        <v>4</v>
      </c>
      <c r="D15" s="1" t="s">
        <v>0</v>
      </c>
      <c r="E15" s="2">
        <v>22</v>
      </c>
      <c r="F15" s="2">
        <f t="shared" si="0"/>
        <v>3.255E-7</v>
      </c>
      <c r="H15" s="2">
        <f t="shared" si="2"/>
        <v>8960</v>
      </c>
      <c r="J15" s="2">
        <f t="shared" si="3"/>
        <v>0</v>
      </c>
      <c r="K15" s="8">
        <f t="shared" si="4"/>
        <v>0</v>
      </c>
      <c r="L15" s="7">
        <f t="shared" si="5"/>
        <v>0</v>
      </c>
      <c r="M15" s="2">
        <f t="shared" si="6"/>
        <v>0</v>
      </c>
      <c r="U15" s="4">
        <v>24</v>
      </c>
      <c r="V15" s="4">
        <v>0.51100000000000001</v>
      </c>
      <c r="W15" s="4">
        <v>0.20469999999999999</v>
      </c>
      <c r="X15" s="3">
        <f t="shared" si="1"/>
        <v>2.047E-7</v>
      </c>
    </row>
    <row r="16" spans="2:24" x14ac:dyDescent="0.3">
      <c r="B16" s="5">
        <v>14</v>
      </c>
      <c r="C16" s="1" t="s">
        <v>3</v>
      </c>
      <c r="D16" s="1" t="s">
        <v>0</v>
      </c>
      <c r="E16" s="2">
        <v>22</v>
      </c>
      <c r="F16" s="2">
        <f t="shared" si="0"/>
        <v>3.255E-7</v>
      </c>
      <c r="H16" s="2">
        <f t="shared" si="2"/>
        <v>8960</v>
      </c>
      <c r="J16" s="2">
        <f t="shared" si="3"/>
        <v>0</v>
      </c>
      <c r="K16" s="8">
        <f t="shared" si="4"/>
        <v>0</v>
      </c>
      <c r="L16" s="7">
        <f t="shared" si="5"/>
        <v>0</v>
      </c>
      <c r="M16" s="2">
        <f t="shared" si="6"/>
        <v>0</v>
      </c>
      <c r="U16" s="4">
        <v>23</v>
      </c>
      <c r="V16" s="4">
        <v>0.57299999999999995</v>
      </c>
      <c r="W16" s="4">
        <v>0.25819999999999999</v>
      </c>
      <c r="X16" s="3">
        <f t="shared" si="1"/>
        <v>2.5819999999999997E-7</v>
      </c>
    </row>
    <row r="17" spans="2:24" x14ac:dyDescent="0.3">
      <c r="B17" s="5">
        <v>15</v>
      </c>
      <c r="C17" s="1" t="s">
        <v>2</v>
      </c>
      <c r="D17" s="1" t="s">
        <v>0</v>
      </c>
      <c r="E17" s="2">
        <v>22</v>
      </c>
      <c r="F17" s="2">
        <f t="shared" si="0"/>
        <v>3.255E-7</v>
      </c>
      <c r="H17" s="2">
        <f t="shared" si="2"/>
        <v>8960</v>
      </c>
      <c r="J17" s="2">
        <f t="shared" si="3"/>
        <v>0</v>
      </c>
      <c r="K17" s="8">
        <f t="shared" si="4"/>
        <v>0</v>
      </c>
      <c r="L17" s="7">
        <f t="shared" si="5"/>
        <v>0</v>
      </c>
      <c r="M17" s="2">
        <f t="shared" si="6"/>
        <v>0</v>
      </c>
      <c r="U17" s="4">
        <v>22</v>
      </c>
      <c r="V17" s="4">
        <v>0.64400000000000002</v>
      </c>
      <c r="W17" s="4">
        <v>0.32550000000000001</v>
      </c>
      <c r="X17" s="3">
        <f t="shared" si="1"/>
        <v>3.255E-7</v>
      </c>
    </row>
    <row r="18" spans="2:24" x14ac:dyDescent="0.3">
      <c r="B18" s="5">
        <v>16</v>
      </c>
      <c r="C18" s="1" t="s">
        <v>1</v>
      </c>
      <c r="D18" s="1" t="s">
        <v>0</v>
      </c>
      <c r="E18" s="2">
        <v>22</v>
      </c>
      <c r="F18" s="2">
        <f>IFERROR(INDEX($X$3:$X$21,MATCH(E18,$U$3:$U$21,0)),"")</f>
        <v>3.255E-7</v>
      </c>
      <c r="H18" s="2">
        <f t="shared" si="2"/>
        <v>8960</v>
      </c>
      <c r="J18" s="2">
        <f t="shared" si="3"/>
        <v>0</v>
      </c>
      <c r="K18" s="8">
        <f t="shared" si="4"/>
        <v>0</v>
      </c>
      <c r="L18" s="7">
        <f t="shared" si="5"/>
        <v>0</v>
      </c>
      <c r="M18" s="2">
        <f t="shared" si="6"/>
        <v>0</v>
      </c>
      <c r="U18" s="4">
        <v>21</v>
      </c>
      <c r="V18" s="4">
        <v>0.72299999999999998</v>
      </c>
      <c r="W18" s="4">
        <v>0.41049999999999998</v>
      </c>
      <c r="X18" s="3">
        <f t="shared" si="1"/>
        <v>4.1049999999999998E-7</v>
      </c>
    </row>
    <row r="19" spans="2:24" x14ac:dyDescent="0.3">
      <c r="B19" s="5">
        <v>17</v>
      </c>
      <c r="E19" s="2">
        <v>22</v>
      </c>
      <c r="F19" s="2">
        <f t="shared" ref="F19:F52" si="7">IFERROR(INDEX($X$3:$X$21,MATCH(E19,$U$3:$U$21,0)),"")</f>
        <v>3.255E-7</v>
      </c>
      <c r="H19" s="2">
        <f t="shared" si="2"/>
        <v>8960</v>
      </c>
      <c r="J19" s="2">
        <f t="shared" si="3"/>
        <v>0</v>
      </c>
      <c r="K19" s="8">
        <f t="shared" si="4"/>
        <v>0</v>
      </c>
      <c r="L19" s="7">
        <f t="shared" si="5"/>
        <v>0</v>
      </c>
      <c r="M19" s="2">
        <f t="shared" si="6"/>
        <v>0</v>
      </c>
      <c r="U19" s="4">
        <v>20</v>
      </c>
      <c r="V19" s="4">
        <v>0.81200000000000006</v>
      </c>
      <c r="W19" s="4">
        <v>0.51759999999999995</v>
      </c>
      <c r="X19" s="3">
        <f t="shared" si="1"/>
        <v>5.1759999999999992E-7</v>
      </c>
    </row>
    <row r="20" spans="2:24" x14ac:dyDescent="0.3">
      <c r="B20" s="5">
        <v>18</v>
      </c>
      <c r="E20" s="2">
        <v>22</v>
      </c>
      <c r="F20" s="2">
        <f t="shared" si="7"/>
        <v>3.255E-7</v>
      </c>
      <c r="H20" s="2">
        <f t="shared" si="2"/>
        <v>8960</v>
      </c>
      <c r="J20" s="2">
        <f t="shared" si="3"/>
        <v>0</v>
      </c>
      <c r="K20" s="8">
        <f t="shared" si="4"/>
        <v>0</v>
      </c>
      <c r="L20" s="7">
        <f t="shared" si="5"/>
        <v>0</v>
      </c>
      <c r="M20" s="2">
        <f t="shared" si="6"/>
        <v>0</v>
      </c>
      <c r="U20" s="4">
        <v>19</v>
      </c>
      <c r="V20" s="4">
        <v>0.91200000000000003</v>
      </c>
      <c r="W20" s="4">
        <v>0.65249999999999997</v>
      </c>
      <c r="X20" s="3">
        <f t="shared" si="1"/>
        <v>6.525E-7</v>
      </c>
    </row>
    <row r="21" spans="2:24" x14ac:dyDescent="0.3">
      <c r="B21" s="5">
        <v>19</v>
      </c>
      <c r="E21" s="2">
        <v>22</v>
      </c>
      <c r="F21" s="2">
        <f t="shared" si="7"/>
        <v>3.255E-7</v>
      </c>
      <c r="H21" s="2">
        <f t="shared" si="2"/>
        <v>8960</v>
      </c>
      <c r="J21" s="2">
        <f t="shared" si="3"/>
        <v>0</v>
      </c>
      <c r="K21" s="8">
        <f t="shared" si="4"/>
        <v>0</v>
      </c>
      <c r="L21" s="7">
        <f t="shared" si="5"/>
        <v>0</v>
      </c>
      <c r="M21" s="2">
        <f t="shared" si="6"/>
        <v>0</v>
      </c>
      <c r="U21" s="4">
        <v>18</v>
      </c>
      <c r="V21" s="4">
        <v>1.024</v>
      </c>
      <c r="W21" s="4">
        <v>0.82320000000000004</v>
      </c>
      <c r="X21" s="3">
        <f t="shared" si="1"/>
        <v>8.2320000000000001E-7</v>
      </c>
    </row>
    <row r="22" spans="2:24" x14ac:dyDescent="0.3">
      <c r="B22" s="5">
        <v>20</v>
      </c>
      <c r="E22" s="2">
        <v>22</v>
      </c>
      <c r="F22" s="2">
        <f t="shared" si="7"/>
        <v>3.255E-7</v>
      </c>
      <c r="H22" s="2">
        <f t="shared" si="2"/>
        <v>8960</v>
      </c>
      <c r="J22" s="2">
        <f t="shared" si="3"/>
        <v>0</v>
      </c>
      <c r="K22" s="8">
        <f t="shared" si="4"/>
        <v>0</v>
      </c>
      <c r="L22" s="7">
        <f t="shared" si="5"/>
        <v>0</v>
      </c>
      <c r="M22" s="2">
        <f t="shared" si="6"/>
        <v>0</v>
      </c>
    </row>
    <row r="23" spans="2:24" x14ac:dyDescent="0.3">
      <c r="B23" s="5">
        <v>21</v>
      </c>
      <c r="E23" s="2">
        <v>22</v>
      </c>
      <c r="F23" s="2">
        <f t="shared" si="7"/>
        <v>3.255E-7</v>
      </c>
      <c r="H23" s="2">
        <f t="shared" si="2"/>
        <v>8960</v>
      </c>
      <c r="J23" s="2">
        <f t="shared" si="3"/>
        <v>0</v>
      </c>
      <c r="K23" s="8">
        <f t="shared" si="4"/>
        <v>0</v>
      </c>
      <c r="L23" s="7">
        <f t="shared" si="5"/>
        <v>0</v>
      </c>
      <c r="M23" s="2">
        <f t="shared" si="6"/>
        <v>0</v>
      </c>
    </row>
    <row r="24" spans="2:24" x14ac:dyDescent="0.3">
      <c r="B24" s="5">
        <v>22</v>
      </c>
      <c r="E24" s="2">
        <v>22</v>
      </c>
      <c r="F24" s="2">
        <f t="shared" si="7"/>
        <v>3.255E-7</v>
      </c>
      <c r="H24" s="2">
        <f t="shared" si="2"/>
        <v>8960</v>
      </c>
      <c r="J24" s="2">
        <f t="shared" si="3"/>
        <v>0</v>
      </c>
      <c r="K24" s="8">
        <f t="shared" si="4"/>
        <v>0</v>
      </c>
      <c r="L24" s="7">
        <f t="shared" si="5"/>
        <v>0</v>
      </c>
      <c r="M24" s="2">
        <f t="shared" si="6"/>
        <v>0</v>
      </c>
    </row>
    <row r="25" spans="2:24" x14ac:dyDescent="0.3">
      <c r="B25" s="5">
        <v>23</v>
      </c>
      <c r="E25" s="2">
        <v>22</v>
      </c>
      <c r="F25" s="2">
        <f t="shared" si="7"/>
        <v>3.255E-7</v>
      </c>
      <c r="H25" s="2">
        <f t="shared" si="2"/>
        <v>8960</v>
      </c>
      <c r="J25" s="2">
        <f t="shared" si="3"/>
        <v>0</v>
      </c>
      <c r="K25" s="8">
        <f t="shared" si="4"/>
        <v>0</v>
      </c>
      <c r="L25" s="7">
        <f t="shared" si="5"/>
        <v>0</v>
      </c>
      <c r="M25" s="2">
        <f t="shared" si="6"/>
        <v>0</v>
      </c>
    </row>
    <row r="26" spans="2:24" x14ac:dyDescent="0.3">
      <c r="B26" s="5">
        <v>24</v>
      </c>
      <c r="E26" s="2">
        <v>22</v>
      </c>
      <c r="F26" s="2">
        <f t="shared" si="7"/>
        <v>3.255E-7</v>
      </c>
      <c r="H26" s="2">
        <f t="shared" si="2"/>
        <v>8960</v>
      </c>
      <c r="J26" s="2">
        <f t="shared" si="3"/>
        <v>0</v>
      </c>
      <c r="K26" s="8">
        <f t="shared" si="4"/>
        <v>0</v>
      </c>
      <c r="L26" s="7">
        <f t="shared" si="5"/>
        <v>0</v>
      </c>
      <c r="M26" s="2">
        <f t="shared" si="6"/>
        <v>0</v>
      </c>
    </row>
    <row r="27" spans="2:24" x14ac:dyDescent="0.3">
      <c r="B27" s="5">
        <v>25</v>
      </c>
      <c r="E27" s="2">
        <v>22</v>
      </c>
      <c r="F27" s="2">
        <f t="shared" si="7"/>
        <v>3.255E-7</v>
      </c>
      <c r="H27" s="2">
        <f t="shared" si="2"/>
        <v>8960</v>
      </c>
      <c r="J27" s="2">
        <f t="shared" si="3"/>
        <v>0</v>
      </c>
      <c r="K27" s="8">
        <f t="shared" si="4"/>
        <v>0</v>
      </c>
      <c r="L27" s="7">
        <f t="shared" si="5"/>
        <v>0</v>
      </c>
      <c r="M27" s="2">
        <f t="shared" si="6"/>
        <v>0</v>
      </c>
    </row>
    <row r="28" spans="2:24" x14ac:dyDescent="0.3">
      <c r="B28" s="5">
        <v>26</v>
      </c>
      <c r="E28" s="2">
        <v>22</v>
      </c>
      <c r="F28" s="2">
        <f t="shared" si="7"/>
        <v>3.255E-7</v>
      </c>
      <c r="H28" s="2">
        <f t="shared" si="2"/>
        <v>8960</v>
      </c>
      <c r="J28" s="2">
        <f t="shared" si="3"/>
        <v>0</v>
      </c>
      <c r="K28" s="8">
        <f t="shared" si="4"/>
        <v>0</v>
      </c>
      <c r="L28" s="7">
        <f t="shared" si="5"/>
        <v>0</v>
      </c>
      <c r="M28" s="2">
        <f t="shared" si="6"/>
        <v>0</v>
      </c>
    </row>
    <row r="29" spans="2:24" x14ac:dyDescent="0.3">
      <c r="B29" s="5">
        <v>27</v>
      </c>
      <c r="E29" s="2">
        <v>22</v>
      </c>
      <c r="F29" s="2">
        <f t="shared" si="7"/>
        <v>3.255E-7</v>
      </c>
      <c r="H29" s="2">
        <f t="shared" si="2"/>
        <v>8960</v>
      </c>
      <c r="J29" s="2">
        <f t="shared" si="3"/>
        <v>0</v>
      </c>
      <c r="K29" s="8">
        <f t="shared" si="4"/>
        <v>0</v>
      </c>
      <c r="L29" s="7">
        <f t="shared" si="5"/>
        <v>0</v>
      </c>
      <c r="M29" s="2">
        <f t="shared" si="6"/>
        <v>0</v>
      </c>
    </row>
    <row r="30" spans="2:24" x14ac:dyDescent="0.3">
      <c r="B30" s="5">
        <v>28</v>
      </c>
      <c r="E30" s="2">
        <v>22</v>
      </c>
      <c r="F30" s="2">
        <f t="shared" si="7"/>
        <v>3.255E-7</v>
      </c>
      <c r="H30" s="2">
        <f t="shared" si="2"/>
        <v>8960</v>
      </c>
      <c r="J30" s="2">
        <f t="shared" si="3"/>
        <v>0</v>
      </c>
      <c r="K30" s="8">
        <f t="shared" si="4"/>
        <v>0</v>
      </c>
      <c r="L30" s="7">
        <f t="shared" si="5"/>
        <v>0</v>
      </c>
      <c r="M30" s="2">
        <f t="shared" si="6"/>
        <v>0</v>
      </c>
    </row>
    <row r="31" spans="2:24" x14ac:dyDescent="0.3">
      <c r="B31" s="5">
        <v>29</v>
      </c>
      <c r="E31" s="2">
        <v>22</v>
      </c>
      <c r="F31" s="2">
        <f t="shared" si="7"/>
        <v>3.255E-7</v>
      </c>
      <c r="H31" s="2">
        <f t="shared" si="2"/>
        <v>8960</v>
      </c>
      <c r="J31" s="2">
        <f t="shared" si="3"/>
        <v>0</v>
      </c>
      <c r="K31" s="8">
        <f t="shared" si="4"/>
        <v>0</v>
      </c>
      <c r="L31" s="7">
        <f t="shared" si="5"/>
        <v>0</v>
      </c>
      <c r="M31" s="2">
        <f t="shared" si="6"/>
        <v>0</v>
      </c>
    </row>
    <row r="32" spans="2:24" x14ac:dyDescent="0.3">
      <c r="B32" s="5">
        <v>30</v>
      </c>
      <c r="E32" s="2">
        <v>22</v>
      </c>
      <c r="F32" s="2">
        <f t="shared" si="7"/>
        <v>3.255E-7</v>
      </c>
      <c r="H32" s="2">
        <f t="shared" si="2"/>
        <v>8960</v>
      </c>
      <c r="J32" s="2">
        <f t="shared" si="3"/>
        <v>0</v>
      </c>
      <c r="K32" s="8">
        <f t="shared" si="4"/>
        <v>0</v>
      </c>
      <c r="L32" s="7">
        <f t="shared" si="5"/>
        <v>0</v>
      </c>
      <c r="M32" s="2">
        <f t="shared" si="6"/>
        <v>0</v>
      </c>
    </row>
    <row r="33" spans="2:13" x14ac:dyDescent="0.3">
      <c r="B33" s="5">
        <v>31</v>
      </c>
      <c r="E33" s="2">
        <v>22</v>
      </c>
      <c r="F33" s="2">
        <f t="shared" si="7"/>
        <v>3.255E-7</v>
      </c>
      <c r="H33" s="2">
        <f t="shared" si="2"/>
        <v>8960</v>
      </c>
      <c r="J33" s="2">
        <f t="shared" si="3"/>
        <v>0</v>
      </c>
      <c r="K33" s="8">
        <f t="shared" si="4"/>
        <v>0</v>
      </c>
      <c r="L33" s="7">
        <f t="shared" si="5"/>
        <v>0</v>
      </c>
      <c r="M33" s="2">
        <f t="shared" si="6"/>
        <v>0</v>
      </c>
    </row>
    <row r="34" spans="2:13" x14ac:dyDescent="0.3">
      <c r="B34" s="5">
        <v>32</v>
      </c>
      <c r="E34" s="2">
        <v>22</v>
      </c>
      <c r="F34" s="2">
        <f t="shared" si="7"/>
        <v>3.255E-7</v>
      </c>
      <c r="H34" s="2">
        <f t="shared" si="2"/>
        <v>8960</v>
      </c>
      <c r="J34" s="2">
        <f t="shared" si="3"/>
        <v>0</v>
      </c>
      <c r="K34" s="8">
        <f t="shared" si="4"/>
        <v>0</v>
      </c>
      <c r="L34" s="7">
        <f t="shared" si="5"/>
        <v>0</v>
      </c>
      <c r="M34" s="2">
        <f t="shared" si="6"/>
        <v>0</v>
      </c>
    </row>
    <row r="35" spans="2:13" x14ac:dyDescent="0.3">
      <c r="B35" s="5">
        <v>33</v>
      </c>
      <c r="E35" s="2">
        <v>22</v>
      </c>
      <c r="F35" s="2">
        <f t="shared" si="7"/>
        <v>3.255E-7</v>
      </c>
      <c r="H35" s="2">
        <f t="shared" si="2"/>
        <v>8960</v>
      </c>
      <c r="J35" s="2">
        <f t="shared" si="3"/>
        <v>0</v>
      </c>
      <c r="K35" s="8">
        <f t="shared" si="4"/>
        <v>0</v>
      </c>
      <c r="L35" s="7">
        <f t="shared" si="5"/>
        <v>0</v>
      </c>
      <c r="M35" s="2">
        <f t="shared" si="6"/>
        <v>0</v>
      </c>
    </row>
    <row r="36" spans="2:13" x14ac:dyDescent="0.3">
      <c r="B36" s="5">
        <v>34</v>
      </c>
      <c r="E36" s="2">
        <v>22</v>
      </c>
      <c r="F36" s="2">
        <f t="shared" si="7"/>
        <v>3.255E-7</v>
      </c>
      <c r="H36" s="2">
        <f t="shared" si="2"/>
        <v>8960</v>
      </c>
      <c r="J36" s="2">
        <f t="shared" si="3"/>
        <v>0</v>
      </c>
      <c r="K36" s="8">
        <f t="shared" si="4"/>
        <v>0</v>
      </c>
      <c r="L36" s="7">
        <f t="shared" si="5"/>
        <v>0</v>
      </c>
      <c r="M36" s="2">
        <f t="shared" si="6"/>
        <v>0</v>
      </c>
    </row>
    <row r="37" spans="2:13" x14ac:dyDescent="0.3">
      <c r="B37" s="5">
        <v>35</v>
      </c>
      <c r="E37" s="2">
        <v>22</v>
      </c>
      <c r="F37" s="2">
        <f t="shared" si="7"/>
        <v>3.255E-7</v>
      </c>
      <c r="H37" s="2">
        <f t="shared" si="2"/>
        <v>8960</v>
      </c>
      <c r="J37" s="2">
        <f t="shared" si="3"/>
        <v>0</v>
      </c>
      <c r="K37" s="8">
        <f t="shared" si="4"/>
        <v>0</v>
      </c>
      <c r="L37" s="7">
        <f t="shared" si="5"/>
        <v>0</v>
      </c>
      <c r="M37" s="2">
        <f t="shared" si="6"/>
        <v>0</v>
      </c>
    </row>
    <row r="38" spans="2:13" x14ac:dyDescent="0.3">
      <c r="B38" s="5">
        <v>36</v>
      </c>
      <c r="E38" s="2">
        <v>22</v>
      </c>
      <c r="F38" s="2">
        <f t="shared" si="7"/>
        <v>3.255E-7</v>
      </c>
      <c r="H38" s="2">
        <f t="shared" si="2"/>
        <v>8960</v>
      </c>
      <c r="J38" s="2">
        <f t="shared" si="3"/>
        <v>0</v>
      </c>
      <c r="K38" s="8">
        <f t="shared" si="4"/>
        <v>0</v>
      </c>
      <c r="L38" s="7">
        <f t="shared" si="5"/>
        <v>0</v>
      </c>
      <c r="M38" s="2">
        <f t="shared" si="6"/>
        <v>0</v>
      </c>
    </row>
    <row r="39" spans="2:13" x14ac:dyDescent="0.3">
      <c r="B39" s="5">
        <v>37</v>
      </c>
      <c r="E39" s="2">
        <v>22</v>
      </c>
      <c r="F39" s="2">
        <f t="shared" si="7"/>
        <v>3.255E-7</v>
      </c>
      <c r="H39" s="2">
        <f t="shared" si="2"/>
        <v>8960</v>
      </c>
      <c r="J39" s="2">
        <f t="shared" si="3"/>
        <v>0</v>
      </c>
      <c r="K39" s="8">
        <f t="shared" si="4"/>
        <v>0</v>
      </c>
      <c r="L39" s="7">
        <f t="shared" si="5"/>
        <v>0</v>
      </c>
      <c r="M39" s="2">
        <f t="shared" si="6"/>
        <v>0</v>
      </c>
    </row>
    <row r="40" spans="2:13" x14ac:dyDescent="0.3">
      <c r="B40" s="5">
        <v>38</v>
      </c>
      <c r="E40" s="2">
        <v>22</v>
      </c>
      <c r="F40" s="2">
        <f t="shared" si="7"/>
        <v>3.255E-7</v>
      </c>
      <c r="H40" s="2">
        <f t="shared" si="2"/>
        <v>8960</v>
      </c>
      <c r="J40" s="2">
        <f t="shared" si="3"/>
        <v>0</v>
      </c>
      <c r="K40" s="8">
        <f t="shared" si="4"/>
        <v>0</v>
      </c>
      <c r="L40" s="7">
        <f t="shared" si="5"/>
        <v>0</v>
      </c>
      <c r="M40" s="2">
        <f t="shared" si="6"/>
        <v>0</v>
      </c>
    </row>
    <row r="41" spans="2:13" x14ac:dyDescent="0.3">
      <c r="B41" s="5">
        <v>39</v>
      </c>
      <c r="E41" s="2">
        <v>22</v>
      </c>
      <c r="F41" s="2">
        <f t="shared" si="7"/>
        <v>3.255E-7</v>
      </c>
      <c r="H41" s="2">
        <f t="shared" si="2"/>
        <v>8960</v>
      </c>
      <c r="J41" s="2">
        <f t="shared" si="3"/>
        <v>0</v>
      </c>
      <c r="K41" s="8">
        <f t="shared" si="4"/>
        <v>0</v>
      </c>
      <c r="L41" s="7">
        <f t="shared" si="5"/>
        <v>0</v>
      </c>
      <c r="M41" s="2">
        <f t="shared" si="6"/>
        <v>0</v>
      </c>
    </row>
    <row r="42" spans="2:13" x14ac:dyDescent="0.3">
      <c r="B42" s="5">
        <v>40</v>
      </c>
      <c r="E42" s="2">
        <v>22</v>
      </c>
      <c r="F42" s="2">
        <f t="shared" si="7"/>
        <v>3.255E-7</v>
      </c>
      <c r="H42" s="2">
        <f t="shared" si="2"/>
        <v>8960</v>
      </c>
      <c r="J42" s="2">
        <f t="shared" si="3"/>
        <v>0</v>
      </c>
      <c r="K42" s="8">
        <f t="shared" si="4"/>
        <v>0</v>
      </c>
      <c r="L42" s="7">
        <f t="shared" si="5"/>
        <v>0</v>
      </c>
      <c r="M42" s="2">
        <f t="shared" si="6"/>
        <v>0</v>
      </c>
    </row>
    <row r="43" spans="2:13" x14ac:dyDescent="0.3">
      <c r="B43" s="5">
        <v>41</v>
      </c>
      <c r="E43" s="2">
        <v>22</v>
      </c>
      <c r="F43" s="2">
        <f t="shared" si="7"/>
        <v>3.255E-7</v>
      </c>
      <c r="H43" s="2">
        <f t="shared" si="2"/>
        <v>8960</v>
      </c>
      <c r="J43" s="2">
        <f t="shared" si="3"/>
        <v>0</v>
      </c>
      <c r="K43" s="8">
        <f t="shared" si="4"/>
        <v>0</v>
      </c>
      <c r="L43" s="7">
        <f t="shared" si="5"/>
        <v>0</v>
      </c>
      <c r="M43" s="2">
        <f t="shared" si="6"/>
        <v>0</v>
      </c>
    </row>
    <row r="44" spans="2:13" x14ac:dyDescent="0.3">
      <c r="B44" s="5">
        <v>42</v>
      </c>
      <c r="E44" s="2">
        <v>22</v>
      </c>
      <c r="F44" s="2">
        <f t="shared" si="7"/>
        <v>3.255E-7</v>
      </c>
      <c r="H44" s="2">
        <f t="shared" si="2"/>
        <v>8960</v>
      </c>
      <c r="J44" s="2">
        <f t="shared" si="3"/>
        <v>0</v>
      </c>
      <c r="K44" s="8">
        <f t="shared" si="4"/>
        <v>0</v>
      </c>
      <c r="L44" s="7">
        <f>F44*J44*H44*G44</f>
        <v>0</v>
      </c>
      <c r="M44" s="2">
        <f t="shared" si="6"/>
        <v>0</v>
      </c>
    </row>
    <row r="45" spans="2:13" x14ac:dyDescent="0.3">
      <c r="B45" s="5">
        <v>43</v>
      </c>
      <c r="E45" s="2">
        <v>22</v>
      </c>
      <c r="F45" s="2">
        <f t="shared" si="7"/>
        <v>3.255E-7</v>
      </c>
      <c r="H45" s="2">
        <f t="shared" si="2"/>
        <v>8960</v>
      </c>
      <c r="J45" s="2">
        <f t="shared" si="3"/>
        <v>0</v>
      </c>
      <c r="K45" s="8">
        <f t="shared" si="4"/>
        <v>0</v>
      </c>
      <c r="L45" s="7">
        <f t="shared" si="5"/>
        <v>0</v>
      </c>
      <c r="M45" s="2">
        <f t="shared" si="6"/>
        <v>0</v>
      </c>
    </row>
    <row r="46" spans="2:13" x14ac:dyDescent="0.3">
      <c r="B46" s="5">
        <v>44</v>
      </c>
      <c r="E46" s="2">
        <v>22</v>
      </c>
      <c r="F46" s="2">
        <f t="shared" si="7"/>
        <v>3.255E-7</v>
      </c>
      <c r="H46" s="2">
        <f t="shared" si="2"/>
        <v>8960</v>
      </c>
      <c r="J46" s="2">
        <f t="shared" si="3"/>
        <v>0</v>
      </c>
      <c r="K46" s="8">
        <f t="shared" si="4"/>
        <v>0</v>
      </c>
      <c r="L46" s="7">
        <f t="shared" si="5"/>
        <v>0</v>
      </c>
      <c r="M46" s="2">
        <f t="shared" si="6"/>
        <v>0</v>
      </c>
    </row>
    <row r="47" spans="2:13" x14ac:dyDescent="0.3">
      <c r="B47" s="5">
        <v>45</v>
      </c>
      <c r="E47" s="2">
        <v>22</v>
      </c>
      <c r="F47" s="2">
        <f t="shared" si="7"/>
        <v>3.255E-7</v>
      </c>
      <c r="H47" s="2">
        <f t="shared" si="2"/>
        <v>8960</v>
      </c>
      <c r="J47" s="2">
        <f t="shared" si="3"/>
        <v>0</v>
      </c>
      <c r="K47" s="8">
        <f t="shared" si="4"/>
        <v>0</v>
      </c>
      <c r="L47" s="7">
        <f t="shared" si="5"/>
        <v>0</v>
      </c>
      <c r="M47" s="2">
        <f t="shared" si="6"/>
        <v>0</v>
      </c>
    </row>
    <row r="48" spans="2:13" x14ac:dyDescent="0.3">
      <c r="B48" s="5">
        <v>46</v>
      </c>
      <c r="E48" s="2">
        <v>22</v>
      </c>
      <c r="F48" s="2">
        <f t="shared" si="7"/>
        <v>3.255E-7</v>
      </c>
      <c r="H48" s="2">
        <f t="shared" si="2"/>
        <v>8960</v>
      </c>
      <c r="J48" s="2">
        <f t="shared" si="3"/>
        <v>0</v>
      </c>
      <c r="K48" s="8">
        <f t="shared" si="4"/>
        <v>0</v>
      </c>
      <c r="L48" s="7">
        <f t="shared" si="5"/>
        <v>0</v>
      </c>
      <c r="M48" s="2">
        <f t="shared" si="6"/>
        <v>0</v>
      </c>
    </row>
    <row r="49" spans="2:13" x14ac:dyDescent="0.3">
      <c r="B49" s="5">
        <v>47</v>
      </c>
      <c r="E49" s="2">
        <v>22</v>
      </c>
      <c r="F49" s="2">
        <f t="shared" si="7"/>
        <v>3.255E-7</v>
      </c>
      <c r="H49" s="2">
        <f t="shared" si="2"/>
        <v>8960</v>
      </c>
      <c r="J49" s="2">
        <f t="shared" si="3"/>
        <v>0</v>
      </c>
      <c r="K49" s="8">
        <f t="shared" si="4"/>
        <v>0</v>
      </c>
      <c r="L49" s="7">
        <f t="shared" si="5"/>
        <v>0</v>
      </c>
      <c r="M49" s="2">
        <f t="shared" si="6"/>
        <v>0</v>
      </c>
    </row>
    <row r="50" spans="2:13" x14ac:dyDescent="0.3">
      <c r="B50" s="5">
        <v>48</v>
      </c>
      <c r="E50" s="2">
        <v>22</v>
      </c>
      <c r="F50" s="2">
        <f t="shared" si="7"/>
        <v>3.255E-7</v>
      </c>
      <c r="H50" s="2">
        <f t="shared" si="2"/>
        <v>8960</v>
      </c>
      <c r="J50" s="2">
        <f t="shared" si="3"/>
        <v>0</v>
      </c>
      <c r="K50" s="8">
        <f t="shared" si="4"/>
        <v>0</v>
      </c>
      <c r="L50" s="7">
        <f t="shared" si="5"/>
        <v>0</v>
      </c>
      <c r="M50" s="2">
        <f t="shared" si="6"/>
        <v>0</v>
      </c>
    </row>
    <row r="51" spans="2:13" x14ac:dyDescent="0.3">
      <c r="B51" s="5">
        <v>49</v>
      </c>
      <c r="E51" s="2">
        <v>22</v>
      </c>
      <c r="F51" s="2">
        <f t="shared" si="7"/>
        <v>3.255E-7</v>
      </c>
      <c r="H51" s="2">
        <f t="shared" si="2"/>
        <v>8960</v>
      </c>
      <c r="J51" s="2">
        <f t="shared" si="3"/>
        <v>0</v>
      </c>
      <c r="K51" s="8">
        <f t="shared" si="4"/>
        <v>0</v>
      </c>
      <c r="L51" s="7">
        <f t="shared" si="5"/>
        <v>0</v>
      </c>
      <c r="M51" s="2">
        <f t="shared" si="6"/>
        <v>0</v>
      </c>
    </row>
    <row r="52" spans="2:13" x14ac:dyDescent="0.3">
      <c r="B52" s="5">
        <v>50</v>
      </c>
      <c r="E52" s="2">
        <v>22</v>
      </c>
      <c r="F52" s="2">
        <f t="shared" si="7"/>
        <v>3.255E-7</v>
      </c>
      <c r="H52" s="2">
        <f t="shared" si="2"/>
        <v>8960</v>
      </c>
      <c r="J52" s="2">
        <f t="shared" si="3"/>
        <v>0</v>
      </c>
      <c r="K52" s="8">
        <f t="shared" si="4"/>
        <v>0</v>
      </c>
      <c r="L52" s="7">
        <f t="shared" si="5"/>
        <v>0</v>
      </c>
      <c r="M52" s="2">
        <f>K52*1.1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Conductor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Chaix-Rozas</dc:creator>
  <cp:lastModifiedBy>Adrian Chaix-Rozas</cp:lastModifiedBy>
  <dcterms:created xsi:type="dcterms:W3CDTF">2026-09-23T02:04:06Z</dcterms:created>
  <dcterms:modified xsi:type="dcterms:W3CDTF">2026-09-24T18:10:35Z</dcterms:modified>
</cp:coreProperties>
</file>