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reisle\Documents\GitHub\451-DBF-Team01\"/>
    </mc:Choice>
  </mc:AlternateContent>
  <xr:revisionPtr revIDLastSave="0" documentId="13_ncr:1_{0CB74598-2BA3-4CF1-BEE9-BC6238BC5F7F}" xr6:coauthVersionLast="47" xr6:coauthVersionMax="47" xr10:uidLastSave="{00000000-0000-0000-0000-000000000000}"/>
  <bookViews>
    <workbookView xWindow="-120" yWindow="-120" windowWidth="38640" windowHeight="21120" tabRatio="831" activeTab="5" xr2:uid="{C684E4FE-65D8-41BB-8319-3046AEA9131B}"/>
  </bookViews>
  <sheets>
    <sheet name="Aircraft Cost Grand Total" sheetId="1" r:id="rId1"/>
    <sheet name="Per Assembly Cost --&gt;" sheetId="6" r:id="rId2"/>
    <sheet name="Avionics BOM" sheetId="2" r:id="rId3"/>
    <sheet name="Structures BOM" sheetId="3" r:id="rId4"/>
    <sheet name="Mechanisms BOM" sheetId="4" r:id="rId5"/>
    <sheet name="Propulsion BOM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" i="4" l="1"/>
  <c r="D3" i="3"/>
  <c r="D24" i="3"/>
  <c r="B4" i="6"/>
  <c r="D4" i="2"/>
  <c r="B2" i="6"/>
  <c r="D14" i="3"/>
  <c r="D7" i="4"/>
  <c r="D13" i="3"/>
  <c r="D12" i="3"/>
  <c r="D5" i="2"/>
  <c r="B5" i="6"/>
  <c r="B3" i="6" l="1"/>
  <c r="B1" i="1" s="1"/>
</calcChain>
</file>

<file path=xl/sharedStrings.xml><?xml version="1.0" encoding="utf-8"?>
<sst xmlns="http://schemas.openxmlformats.org/spreadsheetml/2006/main" count="209" uniqueCount="105">
  <si>
    <t>M4 30mm bolt</t>
  </si>
  <si>
    <t>M4 60mm bolt</t>
  </si>
  <si>
    <t>Part</t>
  </si>
  <si>
    <t>Quantity</t>
  </si>
  <si>
    <t>Total Cost</t>
  </si>
  <si>
    <t>Link</t>
  </si>
  <si>
    <t>RC Electric Parts 80A ESC</t>
  </si>
  <si>
    <t>Type</t>
  </si>
  <si>
    <t>M4 x 0.7mm washer</t>
  </si>
  <si>
    <t>M4 think locknut</t>
  </si>
  <si>
    <t>Turnigy 4Cell 4000 mAh Battery</t>
  </si>
  <si>
    <t>1/16 x 1/2 x 1/2 aluminum tube - 6ft</t>
  </si>
  <si>
    <t>Control Horns</t>
  </si>
  <si>
    <t>Main Landing Gear</t>
  </si>
  <si>
    <t>Rear Landing Gear</t>
  </si>
  <si>
    <t>Main Landing Gear Wheels</t>
  </si>
  <si>
    <t>https://www.mcmaster.com/products/6546k49/</t>
  </si>
  <si>
    <t>https://www.mcmaster.com/products/8982k6/</t>
  </si>
  <si>
    <t>https://www.mcmaster.com/products/93475a230/</t>
  </si>
  <si>
    <t>https://www.mcmaster.com/products/90453a112/</t>
  </si>
  <si>
    <t>https://www.mcmaster.com/products/91290a172/</t>
  </si>
  <si>
    <t>https://www.mcmaster.com/products/91290a647/</t>
  </si>
  <si>
    <t>https://www.homedepot.com/p/Owens-Corning-FOAMULAR-NGX-F-250-2-in-x-4-ft-x-8-ft-SSE-R-10-XPS-Rigid-Foam-Board-Insulation-52DDNGX/315197962</t>
  </si>
  <si>
    <t>Purchased</t>
  </si>
  <si>
    <t>Assembly</t>
  </si>
  <si>
    <t>Avionics</t>
  </si>
  <si>
    <t>Structures</t>
  </si>
  <si>
    <t>Mechanism</t>
  </si>
  <si>
    <t>Propulsion</t>
  </si>
  <si>
    <t>https://www.amazon.com/RC-Electric-Controller-Brushless-Motors/dp/B071GRSFBD?th=1</t>
  </si>
  <si>
    <t>https://hobbyking.com/en_us/turnigy-battery-4000mah-4s-30c-lipo-pack-xt-60.html?srsltid=AU7gw4WVGopDsORjxCL-xylPi1hT8fcP1h7w3tHevpSY-TgKOw5vp4lY</t>
  </si>
  <si>
    <t>Battery Strap</t>
  </si>
  <si>
    <t>Zip Ties</t>
  </si>
  <si>
    <t>mg90s servo</t>
  </si>
  <si>
    <t>Printed</t>
  </si>
  <si>
    <t>https://www.amazon.com/Miuzei-Geared-Helicopter-Arduino-Project/dp/B0CP98TZJ2/ref=sr_1_1_sspa?crid=3UWKW3AUXSAKT&amp;dib=eyJ2IjoiMSJ9.EdycfDxnDtcyy4IWKKo05CT4vxdxksMXHI4KVwvilewG4LFzZMiLD-SKTNAvfkn4n3bvzzknFtE5jqLS00GcsR7QSNBrrplhBsFkdc5C7iyFYKU1_Vb1mhk3C7o5-PxM_34Q6HMkAV_urpdOH6vLjHjf_mxsGFtruVyux7qyyMBxdQ_rSkVFyQGAwCDKCI88NTD0eIyd3TvFcExUWLg1DTeMO4Dq4BhMZDTM3cre_Y5T8fpD7C6svcrSYhyshFkTslJFxTQ2ECM_4oD4NXBrL1JYotARBhRZd5SXqmh1hWg.VKHwGgs_7fH_kPtCF2In0AiV3-5WYmgh5fjs7UV6F28&amp;dib_tag=se&amp;keywords=mg90s%2Bservo&amp;qid=1791318944&amp;s=toys-and-games&amp;sprefix=mg90s%2Bservo%2Ctoys-and-games%2C163&amp;sr=1-1-spons&amp;sp_csd=d2lkZ2V0TmFtZT1zcF9hdGY&amp;th=1</t>
  </si>
  <si>
    <t>1/16 x 1/2 x 1/2 aluminum tube - 3ft</t>
  </si>
  <si>
    <t>https://www.mcmaster.com/products/91274a122/</t>
  </si>
  <si>
    <t>M4 25mm bolt</t>
  </si>
  <si>
    <t>https://www.horizonhobby.com/product/wheel-set-3-carbon-z-t-28/EFL1310.html</t>
  </si>
  <si>
    <t>https://www.amazon.com/Wheel-Assembly-60x25mm-Airplane-Replacement/dp/B019IF9PYE/ref=sr_1_3?crid=1KQYSK0JD4ZZH&amp;dib=eyJ2IjoiMSJ9.8MRt66ofaD-HTPbzJODgG9Qlz2FdPJ91tUSbi09ZX4lr_dHuf2NKoZS7yXkhGvsVO7_WKa_ohMkEsAFLxwt-2Y5LjVyLB1w62LlVb4eYR7M8uBNnncHVAWHKkTz9-JcB18VPXtECOdf-9qaDpfuOhcmxJ7khZT4ibu6UjMTIr81ZbuFd9GNoDpglMVs6y9SRzNO55tNk5TOhnozD2gA5eQOHEgP1Wff9-jEDt36BmgqJ2T0Mya91gIEOvEKWIuxuJ8YbR1seAbvyWi-_NiKZqcaMePTvVA3bQu5wYEkgSmw.9Q_KCk60K2yh_idKVDyKAwH8DcX-mFqYibwQmQG3fHg&amp;dib_tag=se&amp;keywords=hobbypark+tailwheel+assembly&amp;qid=1790866317&amp;sprefix=hobbypark+tailwheel+assembl%2Caps%2C146&amp;sr=8-3</t>
  </si>
  <si>
    <t>Servo Extension Wires 36 in</t>
  </si>
  <si>
    <t>https://www.readymaderc.com/products/details/90cm-36in-jr-22awg-servo-cable?gad_source=1&amp;gad_campaignid=17190799136&amp;gbraid=0AAAAADpShvX0lNZ7R-rR4kFhQhZqXsQe4&amp;gclid=Cj0KCQjwuJLWBhD_ARIsAIBcRUwmkykbpZ-Yv1Mmf8ESymVjGKAtao29dLx49Bg4_qsVj1gg-xdR5fkaAsFtEALw_wcB#technical-info-tab</t>
  </si>
  <si>
    <t>Servo extension wire 24 in</t>
  </si>
  <si>
    <t>https://www.readymaderc.com/products/details/60cm-24-inch-jr-style-22awg-twisted-servo-cable</t>
  </si>
  <si>
    <t>https://www.mcmaster.com/2113N16/</t>
  </si>
  <si>
    <t>https://www.readymaderc.com/products/details/strix-battery-strap-20-300-mm-2pcs</t>
  </si>
  <si>
    <t>Rubber Bands</t>
  </si>
  <si>
    <t>Foam Adhesive Tape</t>
  </si>
  <si>
    <t>https://www.homedepot.com/p/Owens-Corning-HomeSealR-3-in-x-180-ft-Foam-Board-Joint-Tape-1441820/300223152</t>
  </si>
  <si>
    <t>Control Rods</t>
  </si>
  <si>
    <t>LAB STOCK?</t>
  </si>
  <si>
    <t>Y</t>
  </si>
  <si>
    <t>N</t>
  </si>
  <si>
    <t>https://www.amazon.com/Standard-Control-17-5x26-Airplane-Replacement/dp/B019I0U8NG</t>
  </si>
  <si>
    <t>https://www.horizonhobby.com/product/main-landing-gear-valiant-10cc/HAN508010.html</t>
  </si>
  <si>
    <t>1ft x 1.125 x 1.125 in extruded L Aluminum</t>
  </si>
  <si>
    <t>https://us.store.bambulab.com/products/pla-basic-filament?id=42844629008520</t>
  </si>
  <si>
    <t>Servo Mount PLA</t>
  </si>
  <si>
    <t>Motor Cover Print PLA</t>
  </si>
  <si>
    <t>Wing Dihedral Print PLA</t>
  </si>
  <si>
    <t>Tail Mount Print ABS</t>
  </si>
  <si>
    <t>https://us.store.bambulab.com/products/abs-filament</t>
  </si>
  <si>
    <t>Airspeed Sensor Print PLA</t>
  </si>
  <si>
    <t>https://www.mcmaster.com/12205T76/</t>
  </si>
  <si>
    <t>12 ft</t>
  </si>
  <si>
    <t>Dowels</t>
  </si>
  <si>
    <t xml:space="preserve">Gorilla Wood Glue </t>
  </si>
  <si>
    <t>Gorilla Super Glue</t>
  </si>
  <si>
    <t>https://www.homedepot.com/p/Gorilla-8-oz-Wood-Glue-Natural-62000/100672167</t>
  </si>
  <si>
    <t>6 oz</t>
  </si>
  <si>
    <t>https://www.homedepot.com/p/Gorilla-25g-Super-Glue-XL-7400202/329800516</t>
  </si>
  <si>
    <t>15g</t>
  </si>
  <si>
    <t>https://www.mcmaster.com/94669A135/</t>
  </si>
  <si>
    <t>Aluminum 40mm x 8 mm OD Spacer</t>
  </si>
  <si>
    <t>Bambu Skewers</t>
  </si>
  <si>
    <t>Cobra 3520/12</t>
  </si>
  <si>
    <t>https://www.cobramotorsusa.com/motors-3520-12.html</t>
  </si>
  <si>
    <t>https://us.store.bambulab.com/products/petg-basic</t>
  </si>
  <si>
    <t>https://www.uline.com/Product/Detail/S-24954/3M-Double-Sided-Tape/3M-GPT-020-Double-Coated-Tape-1-2-x-55-yds?pricode=WB2129&amp;gadtype=pla&amp;id=S-24954&amp;ad_group_id=145971513970&amp;gad_source=1&amp;gad_campaignid=11612151501&amp;gbraid=0AAAAAD_uetMWPvmgHv3q_pW1Ap2XPjNcU&amp;gclid=CjwKCAjwxeHWBhBPEiwAiqtQ-fXMrRlgI_ldfpzj6iy0tx9E9ZY5jWXLAkurdtsnGW43uC5BHwLfohoCeCEQAvD_BwE</t>
  </si>
  <si>
    <t>3m double sided tape</t>
  </si>
  <si>
    <t>6 ft</t>
  </si>
  <si>
    <t>adhesive velcro singe sided</t>
  </si>
  <si>
    <t>5 ft</t>
  </si>
  <si>
    <t>https://www.mcmaster.com/94985K27/</t>
  </si>
  <si>
    <t>Duct tape</t>
  </si>
  <si>
    <t>10 ft</t>
  </si>
  <si>
    <t>https://www.homedepot.com/p/Duck-Pro-1-88-in-x-60-yds-Silver-All-Purpose-Duct-Tape-242760/309334754</t>
  </si>
  <si>
    <t>https://www.homedepot.com/p/GrillPro-100-Piece-12-in-Bamboo-Skewers-11070/322906473</t>
  </si>
  <si>
    <t xml:space="preserve">Birch plywood .205 In </t>
  </si>
  <si>
    <t>2ft x 4ft</t>
  </si>
  <si>
    <t>https://www.homedepot.com/p/SANDEPLY-5-2mm-Sandeply-Plywood-1-4-in-Category-Common-1-4-in-x-4-ft-x-8-ft-Actual-0-205-in-x-48-in-x-96-in-479023/203414042</t>
  </si>
  <si>
    <t>JB WELD</t>
  </si>
  <si>
    <t>https://www.homedepot.com/p/J-B-Weld-Two-1-oz-Twin-Tube-Cold-Weld-Epoxy-8265-s/100189012</t>
  </si>
  <si>
    <t>https://www.horizonhobby.com/product/apc-landing-products-electric-propeller-11-x-7e/APC11070E.html</t>
  </si>
  <si>
    <t>11x7E Prop</t>
  </si>
  <si>
    <t>m2 servo screws</t>
  </si>
  <si>
    <t>39 in</t>
  </si>
  <si>
    <t>https://www.amazon.com/uxcell-Stainless-Crafts-Helicopter-Airplane/dp/B0F9FLP8ZX/ref=sr_1_1_sspa?crid=34B8IE94O70HA&amp;dib=eyJ2IjoiMSJ9.cU7lrr51XJ6qmYJOtUckRNTVaDGZtMfpKsb4a1nnoWj_3mOwmRlwX9K110lpATxnRlj8VJAXT0BzvVN4j66zfWec5g2koLZJikNByrNtigidG0j0aomu5dc6oTT4FSrP6QrbriTjrcd4Sniqtx8jaakzQk0pkfL_5sQx-lfLcv_kOWs8mObVOVKBTt2oJkXN8LWZhnXeWwgc5mSLuX2crPxBPMxIA-lzOSfG6GJ7Wp0.ZYBiy1ApnXie17T9Ypp93rQ6LX8hMn0YDRb8uOdDDxM&amp;dib_tag=se&amp;keywords=2mm+control+rod+steel&amp;qid=1792720495&amp;sprefix=2mm+control+rod+ste%2Caps%2C263&amp;sr=8-1-spons&amp;sp_csd=d2lkZ2V0TmFtZT1zcF9hdGY&amp;psc=1</t>
  </si>
  <si>
    <t>https://www.mcmaster.com/92095A457/</t>
  </si>
  <si>
    <t>1/2 package</t>
  </si>
  <si>
    <t>carbon fiber tail tube .314 in OD</t>
  </si>
  <si>
    <t>https://www.mcmaster.com/2153T84/</t>
  </si>
  <si>
    <t>1.5 x 8ft</t>
  </si>
  <si>
    <t>Foam Board 2 in 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</si>
</sst>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1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cmaster.com/2113N16/" TargetMode="External"/><Relationship Id="rId2" Type="http://schemas.openxmlformats.org/officeDocument/2006/relationships/hyperlink" Target="https://www.readymaderc.com/products/details/60cm-24-inch-jr-style-22awg-twisted-servo-cable" TargetMode="External"/><Relationship Id="rId1" Type="http://schemas.openxmlformats.org/officeDocument/2006/relationships/hyperlink" Target="https://www.readymaderc.com/products/details/90cm-36in-jr-22awg-servo-cable?gad_source=1&amp;gad_campaignid=17190799136&amp;gbraid=0AAAAADpShvX0lNZ7R-rR4kFhQhZqXsQe4&amp;gclid=Cj0KCQjwuJLWBhD_ARIsAIBcRUwmkykbpZ-Yv1Mmf8ESymVjGKAtao29dLx49Bg4_qsVj1gg-xdR5fkaAsFtEALw_wcB" TargetMode="External"/><Relationship Id="rId5" Type="http://schemas.openxmlformats.org/officeDocument/2006/relationships/hyperlink" Target="https://us.store.bambulab.com/products/pla-basic-filament?id=42844629008520" TargetMode="External"/><Relationship Id="rId4" Type="http://schemas.openxmlformats.org/officeDocument/2006/relationships/hyperlink" Target="https://www.readymaderc.com/products/details/strix-battery-strap-20-300-mm-2pc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medepot.com/p/Owens-Corning-FOAMULAR-NGX-F-250-2-in-x-4-ft-x-8-ft-SSE-R-10-XPS-Rigid-Foam-Board-Insulation-52DDNGX/315197962" TargetMode="External"/><Relationship Id="rId13" Type="http://schemas.openxmlformats.org/officeDocument/2006/relationships/hyperlink" Target="https://www.mcmaster.com/products/6546k49/" TargetMode="External"/><Relationship Id="rId18" Type="http://schemas.openxmlformats.org/officeDocument/2006/relationships/hyperlink" Target="https://www.uline.com/Product/Detail/S-24954/3M-Double-Sided-Tape/3M-GPT-020-Double-Coated-Tape-1-2-x-55-yds?pricode=WB2129&amp;gadtype=pla&amp;id=S-24954&amp;ad_group_id=145971513970&amp;gad_source=1&amp;gad_campaignid=11612151501&amp;gbraid=0AAAAAD_uetMWPvmgHv3q_pW1Ap2XPjNcU&amp;gclid=CjwKCAjwxeHWBhBPEiwAiqtQ-fXMrRlgI_ldfpzj6iy0tx9E9ZY5jWXLAkurdtsnGW43uC5BHwLfohoCeCEQAvD_BwE" TargetMode="External"/><Relationship Id="rId3" Type="http://schemas.openxmlformats.org/officeDocument/2006/relationships/hyperlink" Target="https://us.store.bambulab.com/products/pla-basic-filament?id=42844629008520" TargetMode="External"/><Relationship Id="rId21" Type="http://schemas.openxmlformats.org/officeDocument/2006/relationships/hyperlink" Target="https://www.homedepot.com/p/GrillPro-100-Piece-12-in-Bamboo-Skewers-11070/322906473" TargetMode="External"/><Relationship Id="rId7" Type="http://schemas.openxmlformats.org/officeDocument/2006/relationships/hyperlink" Target="https://www.homedepot.com/p/Owens-Corning-HomeSealR-3-in-x-180-ft-Foam-Board-Joint-Tape-1441820/300223152" TargetMode="External"/><Relationship Id="rId12" Type="http://schemas.openxmlformats.org/officeDocument/2006/relationships/hyperlink" Target="https://www.mcmaster.com/products/93475a230/" TargetMode="External"/><Relationship Id="rId17" Type="http://schemas.openxmlformats.org/officeDocument/2006/relationships/hyperlink" Target="https://www.mcmaster.com/94985K27/" TargetMode="External"/><Relationship Id="rId2" Type="http://schemas.openxmlformats.org/officeDocument/2006/relationships/hyperlink" Target="https://us.store.bambulab.com/products/petg-basic" TargetMode="External"/><Relationship Id="rId16" Type="http://schemas.openxmlformats.org/officeDocument/2006/relationships/hyperlink" Target="https://www.homedepot.com/p/Gorilla-8-oz-Wood-Glue-Natural-62000/100672167" TargetMode="External"/><Relationship Id="rId20" Type="http://schemas.openxmlformats.org/officeDocument/2006/relationships/hyperlink" Target="https://www.homedepot.com/p/Duck-Pro-1-88-in-x-60-yds-Silver-All-Purpose-Duct-Tape-242760/309334754" TargetMode="External"/><Relationship Id="rId1" Type="http://schemas.openxmlformats.org/officeDocument/2006/relationships/hyperlink" Target="https://us.store.bambulab.com/products/abs-filament" TargetMode="External"/><Relationship Id="rId6" Type="http://schemas.openxmlformats.org/officeDocument/2006/relationships/hyperlink" Target="https://www.mcmaster.com/94669A135/" TargetMode="External"/><Relationship Id="rId11" Type="http://schemas.openxmlformats.org/officeDocument/2006/relationships/hyperlink" Target="https://www.mcmaster.com/products/90453a112/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https://www.mcmaster.com/products/6546k49/" TargetMode="External"/><Relationship Id="rId15" Type="http://schemas.openxmlformats.org/officeDocument/2006/relationships/hyperlink" Target="https://us.store.bambulab.com/products/abs-filament" TargetMode="External"/><Relationship Id="rId23" Type="http://schemas.openxmlformats.org/officeDocument/2006/relationships/hyperlink" Target="https://www.homedepot.com/p/J-B-Weld-Two-1-oz-Twin-Tube-Cold-Weld-Epoxy-8265-s/100189012" TargetMode="External"/><Relationship Id="rId10" Type="http://schemas.openxmlformats.org/officeDocument/2006/relationships/hyperlink" Target="https://www.mcmaster.com/products/91290a172/" TargetMode="External"/><Relationship Id="rId19" Type="http://schemas.openxmlformats.org/officeDocument/2006/relationships/hyperlink" Target="https://www.homedepot.com/p/Gorilla-25g-Super-Glue-XL-7400202/329800516" TargetMode="External"/><Relationship Id="rId4" Type="http://schemas.openxmlformats.org/officeDocument/2006/relationships/hyperlink" Target="https://www.mcmaster.com/products/91274a122/" TargetMode="External"/><Relationship Id="rId9" Type="http://schemas.openxmlformats.org/officeDocument/2006/relationships/hyperlink" Target="https://www.mcmaster.com/products/91290a647/" TargetMode="External"/><Relationship Id="rId14" Type="http://schemas.openxmlformats.org/officeDocument/2006/relationships/hyperlink" Target="https://www.mcmaster.com/products/8982k6/" TargetMode="External"/><Relationship Id="rId22" Type="http://schemas.openxmlformats.org/officeDocument/2006/relationships/hyperlink" Target="https://www.mcmaster.com/2153T84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Standard-Control-17-5x26-Airplane-Replacement/dp/B019I0U8NG" TargetMode="External"/><Relationship Id="rId2" Type="http://schemas.openxmlformats.org/officeDocument/2006/relationships/hyperlink" Target="https://www.horizonhobby.com/product/main-landing-gear-valiant-10cc/HAN508010.html" TargetMode="External"/><Relationship Id="rId1" Type="http://schemas.openxmlformats.org/officeDocument/2006/relationships/hyperlink" Target="https://www.horizonhobby.com/product/wheel-set-3-carbon-z-t-28/EFL1310.html" TargetMode="External"/><Relationship Id="rId5" Type="http://schemas.openxmlformats.org/officeDocument/2006/relationships/hyperlink" Target="https://www.mcmaster.com/12205T76/" TargetMode="External"/><Relationship Id="rId4" Type="http://schemas.openxmlformats.org/officeDocument/2006/relationships/hyperlink" Target="https://us.store.bambulab.com/products/pla-basic-filament?id=42844629008520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hobbyking.com/en_us/turnigy-battery-4000mah-4s-30c-lipo-pack-xt-60.html?srsltid=AU7gw4WVGopDsORjxCL-xylPi1hT8fcP1h7w3tHevpSY-TgKOw5vp4lY" TargetMode="External"/><Relationship Id="rId2" Type="http://schemas.openxmlformats.org/officeDocument/2006/relationships/hyperlink" Target="https://www.amazon.com/RC-Electric-Controller-Brushless-Motors/dp/B071GRSFBD?th=1" TargetMode="External"/><Relationship Id="rId1" Type="http://schemas.openxmlformats.org/officeDocument/2006/relationships/hyperlink" Target="https://www.cobramotorsusa.com/motors-3520-12.html" TargetMode="External"/><Relationship Id="rId4" Type="http://schemas.openxmlformats.org/officeDocument/2006/relationships/hyperlink" Target="https://www.horizonhobby.com/product/apc-landing-products-electric-propeller-11-x-7e/APC11070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011CB-CEF2-42FC-B0AC-2D8C8531DD67}">
  <sheetPr>
    <tabColor theme="5"/>
  </sheetPr>
  <dimension ref="A1:B1"/>
  <sheetViews>
    <sheetView workbookViewId="0">
      <selection activeCell="L26" sqref="L26"/>
    </sheetView>
  </sheetViews>
  <sheetFormatPr defaultRowHeight="15" x14ac:dyDescent="0.25"/>
  <cols>
    <col min="1" max="1" width="14" customWidth="1"/>
    <col min="2" max="2" width="16.5703125" customWidth="1"/>
  </cols>
  <sheetData>
    <row r="1" spans="1:2" x14ac:dyDescent="0.25">
      <c r="A1" t="s">
        <v>4</v>
      </c>
      <c r="B1" s="4">
        <f>SUM('Per Assembly Cost --&gt;'!B:B)</f>
        <v>384.10741778975739</v>
      </c>
    </row>
  </sheetData>
  <conditionalFormatting sqref="B1">
    <cfRule type="cellIs" dxfId="5" priority="1" operator="lessThan">
      <formula>400</formula>
    </cfRule>
    <cfRule type="cellIs" dxfId="4" priority="2" operator="greaterThan">
      <formula>400</formula>
    </cfRule>
  </conditionalFormatting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1F69-4424-432D-BD60-B85CB6840641}">
  <sheetPr>
    <tabColor theme="1"/>
  </sheetPr>
  <dimension ref="A1:B5"/>
  <sheetViews>
    <sheetView workbookViewId="0">
      <selection activeCell="F54" sqref="F54"/>
    </sheetView>
  </sheetViews>
  <sheetFormatPr defaultRowHeight="15" x14ac:dyDescent="0.25"/>
  <cols>
    <col min="1" max="1" width="23.28515625" customWidth="1"/>
    <col min="2" max="2" width="22.85546875" style="1" customWidth="1"/>
  </cols>
  <sheetData>
    <row r="1" spans="1:2" x14ac:dyDescent="0.25">
      <c r="A1" s="1" t="s">
        <v>24</v>
      </c>
      <c r="B1" s="1" t="s">
        <v>4</v>
      </c>
    </row>
    <row r="2" spans="1:2" x14ac:dyDescent="0.25">
      <c r="A2" t="s">
        <v>25</v>
      </c>
      <c r="B2" s="5">
        <f>SUM('Avionics BOM'!D:D)</f>
        <v>14.695417789757411</v>
      </c>
    </row>
    <row r="3" spans="1:2" x14ac:dyDescent="0.25">
      <c r="A3" t="s">
        <v>26</v>
      </c>
      <c r="B3" s="1">
        <f>SUM('Structures BOM'!D:D)</f>
        <v>172.273</v>
      </c>
    </row>
    <row r="4" spans="1:2" x14ac:dyDescent="0.25">
      <c r="A4" t="s">
        <v>27</v>
      </c>
      <c r="B4" s="1">
        <f>SUM('Mechanisms BOM'!D:D)</f>
        <v>55.918999999999997</v>
      </c>
    </row>
    <row r="5" spans="1:2" x14ac:dyDescent="0.25">
      <c r="A5" t="s">
        <v>28</v>
      </c>
      <c r="B5" s="1">
        <f>SUM('Propulsion BOM'!D:D)</f>
        <v>141.22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D7834-7C47-4D2E-884E-E19556DA306C}">
  <sheetPr>
    <tabColor theme="0"/>
  </sheetPr>
  <dimension ref="A1:F6"/>
  <sheetViews>
    <sheetView workbookViewId="0">
      <selection activeCell="O27" sqref="O27"/>
    </sheetView>
  </sheetViews>
  <sheetFormatPr defaultRowHeight="15" x14ac:dyDescent="0.25"/>
  <cols>
    <col min="1" max="1" width="30.28515625" customWidth="1"/>
    <col min="2" max="2" width="10.42578125" style="1" customWidth="1"/>
    <col min="3" max="3" width="9.140625" style="1"/>
    <col min="4" max="4" width="10.28515625" style="1" customWidth="1"/>
    <col min="5" max="5" width="11.28515625" style="1" bestFit="1" customWidth="1"/>
    <col min="6" max="6" width="9.140625" style="2"/>
  </cols>
  <sheetData>
    <row r="1" spans="1:6" x14ac:dyDescent="0.25">
      <c r="A1" t="s">
        <v>2</v>
      </c>
      <c r="B1" s="1" t="s">
        <v>7</v>
      </c>
      <c r="C1" s="1" t="s">
        <v>3</v>
      </c>
      <c r="D1" s="1" t="s">
        <v>4</v>
      </c>
      <c r="E1" s="1" t="s">
        <v>51</v>
      </c>
      <c r="F1" s="2" t="s">
        <v>5</v>
      </c>
    </row>
    <row r="2" spans="1:6" x14ac:dyDescent="0.25">
      <c r="A2" t="s">
        <v>41</v>
      </c>
      <c r="B2" s="1" t="s">
        <v>23</v>
      </c>
      <c r="C2" s="1">
        <v>4</v>
      </c>
      <c r="D2" s="1">
        <v>7.16</v>
      </c>
      <c r="E2" s="1" t="s">
        <v>52</v>
      </c>
      <c r="F2" s="3" t="s">
        <v>42</v>
      </c>
    </row>
    <row r="3" spans="1:6" x14ac:dyDescent="0.25">
      <c r="A3" t="s">
        <v>43</v>
      </c>
      <c r="B3" s="1" t="s">
        <v>23</v>
      </c>
      <c r="C3" s="1">
        <v>1</v>
      </c>
      <c r="D3" s="1">
        <v>1.59</v>
      </c>
      <c r="E3" s="1" t="s">
        <v>52</v>
      </c>
      <c r="F3" s="3" t="s">
        <v>44</v>
      </c>
    </row>
    <row r="4" spans="1:6" x14ac:dyDescent="0.25">
      <c r="A4" t="s">
        <v>31</v>
      </c>
      <c r="B4" s="1" t="s">
        <v>23</v>
      </c>
      <c r="C4" s="1">
        <v>3</v>
      </c>
      <c r="D4" s="1">
        <f>3*0.99</f>
        <v>2.9699999999999998</v>
      </c>
      <c r="E4" s="1" t="s">
        <v>52</v>
      </c>
      <c r="F4" s="3" t="s">
        <v>46</v>
      </c>
    </row>
    <row r="5" spans="1:6" x14ac:dyDescent="0.25">
      <c r="A5" t="s">
        <v>32</v>
      </c>
      <c r="B5" s="1" t="s">
        <v>23</v>
      </c>
      <c r="C5" s="1">
        <v>20</v>
      </c>
      <c r="D5" s="5">
        <f>20/7.42</f>
        <v>2.6954177897574123</v>
      </c>
      <c r="E5" s="5" t="s">
        <v>52</v>
      </c>
      <c r="F5" s="3" t="s">
        <v>45</v>
      </c>
    </row>
    <row r="6" spans="1:6" x14ac:dyDescent="0.25">
      <c r="A6" t="s">
        <v>63</v>
      </c>
      <c r="B6" s="1" t="s">
        <v>34</v>
      </c>
      <c r="C6" s="1">
        <v>1</v>
      </c>
      <c r="D6" s="1">
        <v>0.28000000000000003</v>
      </c>
      <c r="E6" s="1" t="s">
        <v>34</v>
      </c>
      <c r="F6" s="3" t="s">
        <v>57</v>
      </c>
    </row>
  </sheetData>
  <conditionalFormatting sqref="E1:E1048576">
    <cfRule type="cellIs" dxfId="3" priority="1" operator="equal">
      <formula>"Y"</formula>
    </cfRule>
  </conditionalFormatting>
  <hyperlinks>
    <hyperlink ref="F2" r:id="rId1" location="technical-info-tab" display="https://www.readymaderc.com/products/details/90cm-36in-jr-22awg-servo-cable?gad_source=1&amp;gad_campaignid=17190799136&amp;gbraid=0AAAAADpShvX0lNZ7R-rR4kFhQhZqXsQe4&amp;gclid=Cj0KCQjwuJLWBhD_ARIsAIBcRUwmkykbpZ-Yv1Mmf8ESymVjGKAtao29dLx49Bg4_qsVj1gg-xdR5fkaAsFtEALw_wcB#technical-info-tab" xr:uid="{7C16D964-E42A-476D-8667-EA7484666847}"/>
    <hyperlink ref="F3" r:id="rId2" xr:uid="{AA186CBF-1F4D-4354-8F4C-254D5CF88C30}"/>
    <hyperlink ref="F5" r:id="rId3" xr:uid="{1CEF71FE-8065-4760-8150-4B4B1DA37CD5}"/>
    <hyperlink ref="F4" r:id="rId4" xr:uid="{4EAF33CA-E17C-43DA-8633-E519A1EDF818}"/>
    <hyperlink ref="F6" r:id="rId5" xr:uid="{2C2E3C77-3EE6-4865-850F-8687E6DAA4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DAF7-A5D7-4152-836A-B9FBFC5EBBCA}">
  <sheetPr>
    <tabColor theme="0"/>
  </sheetPr>
  <dimension ref="A1:N25"/>
  <sheetViews>
    <sheetView workbookViewId="0">
      <selection activeCell="E36" sqref="E36"/>
    </sheetView>
  </sheetViews>
  <sheetFormatPr defaultRowHeight="15" x14ac:dyDescent="0.25"/>
  <cols>
    <col min="1" max="1" width="37.5703125" bestFit="1" customWidth="1"/>
    <col min="2" max="2" width="10.42578125" style="1" bestFit="1" customWidth="1"/>
    <col min="3" max="3" width="9.7109375" style="1" bestFit="1" customWidth="1"/>
    <col min="4" max="4" width="9.140625" style="1"/>
    <col min="5" max="5" width="11.28515625" style="1" bestFit="1" customWidth="1"/>
    <col min="6" max="6" width="9.140625" style="2"/>
  </cols>
  <sheetData>
    <row r="1" spans="1:14" x14ac:dyDescent="0.25">
      <c r="A1" t="s">
        <v>2</v>
      </c>
      <c r="B1" s="1" t="s">
        <v>7</v>
      </c>
      <c r="C1" s="1" t="s">
        <v>3</v>
      </c>
      <c r="D1" s="1" t="s">
        <v>4</v>
      </c>
      <c r="E1" s="1" t="s">
        <v>51</v>
      </c>
      <c r="F1" s="2" t="s">
        <v>5</v>
      </c>
    </row>
    <row r="2" spans="1:14" x14ac:dyDescent="0.25">
      <c r="A2" t="s">
        <v>89</v>
      </c>
      <c r="B2" s="1" t="s">
        <v>23</v>
      </c>
      <c r="C2" s="1" t="s">
        <v>90</v>
      </c>
      <c r="D2" s="1">
        <v>8.08</v>
      </c>
      <c r="E2" s="1" t="s">
        <v>52</v>
      </c>
      <c r="F2" s="3" t="s">
        <v>91</v>
      </c>
    </row>
    <row r="3" spans="1:14" x14ac:dyDescent="0.25">
      <c r="A3" t="s">
        <v>104</v>
      </c>
      <c r="B3" s="1" t="s">
        <v>23</v>
      </c>
      <c r="C3" s="1" t="s">
        <v>103</v>
      </c>
      <c r="D3" s="1">
        <f>55.6/2*0.75</f>
        <v>20.85</v>
      </c>
      <c r="E3" s="1" t="s">
        <v>52</v>
      </c>
      <c r="F3" s="3" t="s">
        <v>22</v>
      </c>
    </row>
    <row r="4" spans="1:14" x14ac:dyDescent="0.25">
      <c r="A4" t="s">
        <v>0</v>
      </c>
      <c r="B4" s="1" t="s">
        <v>23</v>
      </c>
      <c r="C4" s="1">
        <v>5</v>
      </c>
      <c r="D4" s="1">
        <v>2.97</v>
      </c>
      <c r="E4" s="1" t="s">
        <v>53</v>
      </c>
      <c r="F4" s="3" t="s">
        <v>20</v>
      </c>
    </row>
    <row r="5" spans="1:14" x14ac:dyDescent="0.25">
      <c r="A5" t="s">
        <v>38</v>
      </c>
      <c r="B5" s="1" t="s">
        <v>23</v>
      </c>
      <c r="C5" s="1">
        <v>25</v>
      </c>
      <c r="D5" s="1">
        <v>4.5999999999999996</v>
      </c>
      <c r="E5" s="1" t="s">
        <v>53</v>
      </c>
      <c r="F5" s="3" t="s">
        <v>37</v>
      </c>
    </row>
    <row r="6" spans="1:14" x14ac:dyDescent="0.25">
      <c r="A6" t="s">
        <v>1</v>
      </c>
      <c r="B6" s="1" t="s">
        <v>23</v>
      </c>
      <c r="C6" s="1">
        <v>25</v>
      </c>
      <c r="D6" s="1">
        <v>5.55</v>
      </c>
      <c r="E6" s="1" t="s">
        <v>53</v>
      </c>
      <c r="F6" s="3" t="s">
        <v>21</v>
      </c>
    </row>
    <row r="7" spans="1:14" x14ac:dyDescent="0.25">
      <c r="A7" t="s">
        <v>8</v>
      </c>
      <c r="B7" s="1" t="s">
        <v>23</v>
      </c>
      <c r="C7" s="1">
        <v>100</v>
      </c>
      <c r="D7" s="1">
        <v>3.93</v>
      </c>
      <c r="E7" s="1" t="s">
        <v>53</v>
      </c>
      <c r="F7" s="3" t="s">
        <v>18</v>
      </c>
    </row>
    <row r="8" spans="1:14" x14ac:dyDescent="0.25">
      <c r="A8" t="s">
        <v>9</v>
      </c>
      <c r="B8" s="1" t="s">
        <v>23</v>
      </c>
      <c r="C8" s="1">
        <v>25</v>
      </c>
      <c r="D8" s="1">
        <v>7.14</v>
      </c>
      <c r="E8" s="1" t="s">
        <v>53</v>
      </c>
      <c r="F8" s="3" t="s">
        <v>19</v>
      </c>
    </row>
    <row r="9" spans="1:14" x14ac:dyDescent="0.25">
      <c r="A9" t="s">
        <v>11</v>
      </c>
      <c r="B9" s="1" t="s">
        <v>23</v>
      </c>
      <c r="C9" s="1">
        <v>1</v>
      </c>
      <c r="D9" s="1">
        <v>24.6</v>
      </c>
      <c r="E9" s="1" t="s">
        <v>53</v>
      </c>
      <c r="F9" s="3" t="s">
        <v>16</v>
      </c>
    </row>
    <row r="10" spans="1:14" x14ac:dyDescent="0.25">
      <c r="A10" t="s">
        <v>36</v>
      </c>
      <c r="B10" s="1" t="s">
        <v>23</v>
      </c>
      <c r="C10" s="1">
        <v>1</v>
      </c>
      <c r="D10" s="1">
        <v>14.27</v>
      </c>
      <c r="E10" s="1" t="s">
        <v>53</v>
      </c>
      <c r="F10" s="3" t="s">
        <v>16</v>
      </c>
    </row>
    <row r="11" spans="1:14" x14ac:dyDescent="0.25">
      <c r="A11" t="s">
        <v>56</v>
      </c>
      <c r="B11" s="1" t="s">
        <v>23</v>
      </c>
      <c r="C11" s="1">
        <v>1</v>
      </c>
      <c r="D11" s="1">
        <v>3.94</v>
      </c>
      <c r="E11" s="1" t="s">
        <v>53</v>
      </c>
      <c r="F11" s="3" t="s">
        <v>17</v>
      </c>
    </row>
    <row r="12" spans="1:14" x14ac:dyDescent="0.25">
      <c r="A12" t="s">
        <v>67</v>
      </c>
      <c r="B12" s="1" t="s">
        <v>23</v>
      </c>
      <c r="C12" s="1" t="s">
        <v>70</v>
      </c>
      <c r="D12" s="5">
        <f>4.98/8*6</f>
        <v>3.7350000000000003</v>
      </c>
      <c r="E12" s="1" t="s">
        <v>52</v>
      </c>
      <c r="F12" s="7" t="s">
        <v>69</v>
      </c>
    </row>
    <row r="13" spans="1:14" x14ac:dyDescent="0.25">
      <c r="A13" t="s">
        <v>68</v>
      </c>
      <c r="B13" s="1" t="s">
        <v>23</v>
      </c>
      <c r="C13" s="1" t="s">
        <v>72</v>
      </c>
      <c r="D13" s="5">
        <f>9.98*0.6</f>
        <v>5.9880000000000004</v>
      </c>
      <c r="E13" s="1" t="s">
        <v>52</v>
      </c>
      <c r="F13" s="3" t="s">
        <v>71</v>
      </c>
      <c r="N13" s="8"/>
    </row>
    <row r="14" spans="1:14" x14ac:dyDescent="0.25">
      <c r="A14" t="s">
        <v>74</v>
      </c>
      <c r="B14" s="1" t="s">
        <v>23</v>
      </c>
      <c r="C14" s="1">
        <v>4</v>
      </c>
      <c r="D14" s="1">
        <f>2.46*4</f>
        <v>9.84</v>
      </c>
      <c r="E14" s="1" t="s">
        <v>53</v>
      </c>
      <c r="F14" s="3" t="s">
        <v>73</v>
      </c>
    </row>
    <row r="15" spans="1:14" x14ac:dyDescent="0.25">
      <c r="A15" t="s">
        <v>48</v>
      </c>
      <c r="B15" s="1" t="s">
        <v>23</v>
      </c>
      <c r="C15" s="1" t="s">
        <v>65</v>
      </c>
      <c r="D15" s="1">
        <v>4.07</v>
      </c>
      <c r="E15" s="1" t="s">
        <v>52</v>
      </c>
      <c r="F15" s="3" t="s">
        <v>49</v>
      </c>
    </row>
    <row r="16" spans="1:14" x14ac:dyDescent="0.25">
      <c r="A16" t="s">
        <v>61</v>
      </c>
      <c r="B16" s="1" t="s">
        <v>34</v>
      </c>
      <c r="C16" s="1">
        <v>1</v>
      </c>
      <c r="D16" s="1">
        <v>1.0900000000000001</v>
      </c>
      <c r="E16" s="1" t="s">
        <v>34</v>
      </c>
      <c r="F16" s="3" t="s">
        <v>62</v>
      </c>
    </row>
    <row r="17" spans="1:14" x14ac:dyDescent="0.25">
      <c r="A17" t="s">
        <v>60</v>
      </c>
      <c r="B17" s="1" t="s">
        <v>34</v>
      </c>
      <c r="C17" s="1">
        <v>1</v>
      </c>
      <c r="D17" s="1">
        <v>0.06</v>
      </c>
      <c r="E17" s="1" t="s">
        <v>34</v>
      </c>
      <c r="F17" s="3" t="s">
        <v>57</v>
      </c>
    </row>
    <row r="18" spans="1:14" x14ac:dyDescent="0.25">
      <c r="A18" t="s">
        <v>59</v>
      </c>
      <c r="B18" s="1" t="s">
        <v>34</v>
      </c>
      <c r="C18" s="1">
        <v>1</v>
      </c>
      <c r="D18" s="1">
        <v>0.67</v>
      </c>
      <c r="E18" s="1" t="s">
        <v>34</v>
      </c>
      <c r="F18" s="3" t="s">
        <v>78</v>
      </c>
      <c r="N18" s="8"/>
    </row>
    <row r="19" spans="1:14" x14ac:dyDescent="0.25">
      <c r="A19" t="s">
        <v>66</v>
      </c>
      <c r="B19" s="1" t="s">
        <v>34</v>
      </c>
      <c r="C19" s="1">
        <v>4</v>
      </c>
      <c r="D19" s="1">
        <v>0.05</v>
      </c>
      <c r="E19" s="1" t="s">
        <v>34</v>
      </c>
      <c r="F19" s="3" t="s">
        <v>62</v>
      </c>
    </row>
    <row r="20" spans="1:14" x14ac:dyDescent="0.25">
      <c r="A20" t="s">
        <v>80</v>
      </c>
      <c r="B20" s="1" t="s">
        <v>23</v>
      </c>
      <c r="C20" s="1" t="s">
        <v>81</v>
      </c>
      <c r="D20" s="1">
        <v>0.51</v>
      </c>
      <c r="E20" s="1" t="s">
        <v>52</v>
      </c>
      <c r="F20" s="3" t="s">
        <v>79</v>
      </c>
      <c r="N20" s="8"/>
    </row>
    <row r="21" spans="1:14" x14ac:dyDescent="0.25">
      <c r="A21" t="s">
        <v>82</v>
      </c>
      <c r="B21" s="1" t="s">
        <v>23</v>
      </c>
      <c r="C21" s="1" t="s">
        <v>83</v>
      </c>
      <c r="D21" s="1">
        <v>7.76</v>
      </c>
      <c r="E21" s="1" t="s">
        <v>53</v>
      </c>
      <c r="F21" s="3" t="s">
        <v>84</v>
      </c>
      <c r="N21" s="8"/>
    </row>
    <row r="22" spans="1:14" x14ac:dyDescent="0.25">
      <c r="A22" t="s">
        <v>85</v>
      </c>
      <c r="B22" s="1" t="s">
        <v>23</v>
      </c>
      <c r="C22" s="1" t="s">
        <v>86</v>
      </c>
      <c r="D22" s="1">
        <v>0.39</v>
      </c>
      <c r="E22" s="1" t="s">
        <v>52</v>
      </c>
      <c r="F22" s="3" t="s">
        <v>87</v>
      </c>
      <c r="N22" s="8"/>
    </row>
    <row r="23" spans="1:14" x14ac:dyDescent="0.25">
      <c r="A23" t="s">
        <v>75</v>
      </c>
      <c r="B23" s="1" t="s">
        <v>23</v>
      </c>
      <c r="C23" s="1">
        <v>100</v>
      </c>
      <c r="D23" s="1">
        <v>2.71</v>
      </c>
      <c r="E23" s="1" t="s">
        <v>53</v>
      </c>
      <c r="F23" s="3" t="s">
        <v>88</v>
      </c>
      <c r="N23" s="8"/>
    </row>
    <row r="24" spans="1:14" x14ac:dyDescent="0.25">
      <c r="A24" t="s">
        <v>92</v>
      </c>
      <c r="B24" s="1" t="s">
        <v>23</v>
      </c>
      <c r="C24" s="1" t="s">
        <v>100</v>
      </c>
      <c r="D24" s="1">
        <f>6.98/2</f>
        <v>3.49</v>
      </c>
      <c r="E24" s="1" t="s">
        <v>52</v>
      </c>
      <c r="F24" s="3" t="s">
        <v>93</v>
      </c>
    </row>
    <row r="25" spans="1:14" x14ac:dyDescent="0.25">
      <c r="A25" t="s">
        <v>101</v>
      </c>
      <c r="B25" s="1" t="s">
        <v>23</v>
      </c>
      <c r="C25" s="1" t="s">
        <v>97</v>
      </c>
      <c r="D25" s="1">
        <v>35.979999999999997</v>
      </c>
      <c r="E25" s="1" t="s">
        <v>53</v>
      </c>
      <c r="F25" s="3" t="s">
        <v>102</v>
      </c>
      <c r="I25" s="8"/>
    </row>
  </sheetData>
  <conditionalFormatting sqref="E1:E1048576">
    <cfRule type="cellIs" dxfId="2" priority="1" operator="equal">
      <formula>"Y"</formula>
    </cfRule>
  </conditionalFormatting>
  <hyperlinks>
    <hyperlink ref="F16" r:id="rId1" xr:uid="{C7A4C835-2651-4775-9B34-D0ACB86D0FCC}"/>
    <hyperlink ref="F18" r:id="rId2" xr:uid="{9522780B-6A52-4DDE-B8E6-B5235444D7F4}"/>
    <hyperlink ref="F17" r:id="rId3" xr:uid="{52B7F4D8-0087-463C-BADE-67E924F10F6E}"/>
    <hyperlink ref="F5" r:id="rId4" xr:uid="{410C3B3D-E226-4918-926D-2343FE7E95FB}"/>
    <hyperlink ref="F10" r:id="rId5" xr:uid="{A329B7F4-245D-42E5-AACE-0CD364DDF33B}"/>
    <hyperlink ref="F14" r:id="rId6" xr:uid="{A91A1DE5-4331-40CB-B90C-715E0BCCB855}"/>
    <hyperlink ref="F15" r:id="rId7" xr:uid="{6293C65C-7FE4-4A84-B068-EDC9724F2BCC}"/>
    <hyperlink ref="F3" r:id="rId8" xr:uid="{EE40E960-AE93-490E-8684-32B42CB94C63}"/>
    <hyperlink ref="F6" r:id="rId9" xr:uid="{DAE67438-2EA2-46E6-AE59-3CE1BA52DE6A}"/>
    <hyperlink ref="F4" r:id="rId10" xr:uid="{675196D7-5C58-487C-8B15-98E28F3CC124}"/>
    <hyperlink ref="F8" r:id="rId11" xr:uid="{77BD64C6-BF95-404A-B01F-81F95BAFFFCD}"/>
    <hyperlink ref="F7" r:id="rId12" xr:uid="{3C1E28BD-D3E4-46AC-A0D8-E327EE566BE4}"/>
    <hyperlink ref="F9" r:id="rId13" xr:uid="{751BAEB2-26DC-4CAF-8D96-A38FD9446E87}"/>
    <hyperlink ref="F11" r:id="rId14" xr:uid="{9B3802E2-0DAA-4495-8E7B-C8A9F6A2FFA8}"/>
    <hyperlink ref="F19" r:id="rId15" xr:uid="{8B7798E1-B9EF-4C27-8F45-57F8754CF6C6}"/>
    <hyperlink ref="F12" r:id="rId16" xr:uid="{DAC881B0-F10F-4F69-8986-0AAA523A24EF}"/>
    <hyperlink ref="F21" r:id="rId17" xr:uid="{B1936492-E69E-4FC0-9317-A51FD4D180C9}"/>
    <hyperlink ref="F20" r:id="rId18" display="https://www.uline.com/Product/Detail/S-24954/3M-Double-Sided-Tape/3M-GPT-020-Double-Coated-Tape-1-2-x-55-yds?pricode=WB2129&amp;gadtype=pla&amp;id=S-24954&amp;ad_group_id=145971513970&amp;gad_source=1&amp;gad_campaignid=11612151501&amp;gbraid=0AAAAAD_uetMWPvmgHv3q_pW1Ap2XPjNcU&amp;gclid=CjwKCAjwxeHWBhBPEiwAiqtQ-fXMrRlgI_ldfpzj6iy0tx9E9ZY5jWXLAkurdtsnGW43uC5BHwLfohoCeCEQAvD_BwE" xr:uid="{5269E7F4-3C12-41E9-B94C-7D7110BCCB5B}"/>
    <hyperlink ref="F13" r:id="rId19" xr:uid="{02A4D3AB-EDC0-4B65-841E-3298AA137928}"/>
    <hyperlink ref="F22" r:id="rId20" xr:uid="{14143E63-1487-40FC-AEB3-356D1822FE75}"/>
    <hyperlink ref="F23" r:id="rId21" xr:uid="{B7AFD8AB-FA10-4D01-851E-CFAF953BAB8E}"/>
    <hyperlink ref="F25" r:id="rId22" xr:uid="{220600F5-F3D8-4713-9FCF-D0034B1ED51A}"/>
    <hyperlink ref="F24" r:id="rId23" xr:uid="{25340820-4495-4BA4-8066-28EF3BFF3F70}"/>
  </hyperlinks>
  <pageMargins left="0.7" right="0.7" top="0.75" bottom="0.75" header="0.3" footer="0.3"/>
  <pageSetup orientation="portrait" r:id="rId2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2592B-214A-4A35-B2C1-2B5CEB3A02A7}">
  <sheetPr>
    <tabColor theme="0"/>
  </sheetPr>
  <dimension ref="A1:M11"/>
  <sheetViews>
    <sheetView workbookViewId="0">
      <selection activeCell="G28" sqref="G28"/>
    </sheetView>
  </sheetViews>
  <sheetFormatPr defaultRowHeight="15" x14ac:dyDescent="0.25"/>
  <cols>
    <col min="1" max="1" width="24.7109375" bestFit="1" customWidth="1"/>
    <col min="2" max="2" width="11.85546875" style="1" customWidth="1"/>
    <col min="3" max="3" width="9.140625" style="1"/>
    <col min="4" max="4" width="10.7109375" style="1" customWidth="1"/>
    <col min="5" max="5" width="11.28515625" style="1" bestFit="1" customWidth="1"/>
    <col min="6" max="6" width="9.140625" style="2"/>
  </cols>
  <sheetData>
    <row r="1" spans="1:13" x14ac:dyDescent="0.25">
      <c r="A1" t="s">
        <v>2</v>
      </c>
      <c r="B1" s="1" t="s">
        <v>7</v>
      </c>
      <c r="C1" s="1" t="s">
        <v>3</v>
      </c>
      <c r="D1" s="1" t="s">
        <v>4</v>
      </c>
      <c r="E1" s="1" t="s">
        <v>51</v>
      </c>
      <c r="F1" s="2" t="s">
        <v>5</v>
      </c>
    </row>
    <row r="2" spans="1:13" x14ac:dyDescent="0.25">
      <c r="A2" t="s">
        <v>33</v>
      </c>
      <c r="B2" s="1" t="s">
        <v>23</v>
      </c>
      <c r="C2" s="1">
        <v>4</v>
      </c>
      <c r="D2" s="1">
        <v>13.88</v>
      </c>
      <c r="E2" s="1" t="s">
        <v>52</v>
      </c>
      <c r="F2" s="2" t="s">
        <v>35</v>
      </c>
    </row>
    <row r="3" spans="1:13" x14ac:dyDescent="0.25">
      <c r="A3" t="s">
        <v>58</v>
      </c>
      <c r="B3" s="1" t="s">
        <v>34</v>
      </c>
      <c r="C3" s="1">
        <v>2</v>
      </c>
      <c r="D3" s="1">
        <v>0.11</v>
      </c>
      <c r="E3" s="1" t="s">
        <v>34</v>
      </c>
      <c r="F3" s="3" t="s">
        <v>57</v>
      </c>
    </row>
    <row r="4" spans="1:13" x14ac:dyDescent="0.25">
      <c r="A4" t="s">
        <v>12</v>
      </c>
      <c r="B4" s="1" t="s">
        <v>23</v>
      </c>
      <c r="C4" s="1">
        <v>4</v>
      </c>
      <c r="D4" s="1">
        <v>2.99</v>
      </c>
      <c r="E4" s="1" t="s">
        <v>52</v>
      </c>
      <c r="F4" s="3" t="s">
        <v>54</v>
      </c>
    </row>
    <row r="5" spans="1:13" x14ac:dyDescent="0.25">
      <c r="A5" t="s">
        <v>50</v>
      </c>
      <c r="B5" s="1" t="s">
        <v>23</v>
      </c>
      <c r="C5" s="1">
        <v>2</v>
      </c>
      <c r="D5" s="5">
        <f>22.22/10*2</f>
        <v>4.444</v>
      </c>
      <c r="E5" s="1" t="s">
        <v>52</v>
      </c>
      <c r="F5" s="2" t="s">
        <v>98</v>
      </c>
      <c r="M5" s="8"/>
    </row>
    <row r="6" spans="1:13" x14ac:dyDescent="0.25">
      <c r="A6" t="s">
        <v>13</v>
      </c>
      <c r="B6" s="1" t="s">
        <v>23</v>
      </c>
      <c r="C6" s="1">
        <v>1</v>
      </c>
      <c r="D6" s="6">
        <v>14.99</v>
      </c>
      <c r="E6" s="1" t="s">
        <v>52</v>
      </c>
      <c r="F6" s="3" t="s">
        <v>55</v>
      </c>
    </row>
    <row r="7" spans="1:13" x14ac:dyDescent="0.25">
      <c r="A7" t="s">
        <v>15</v>
      </c>
      <c r="B7" s="1" t="s">
        <v>23</v>
      </c>
      <c r="C7" s="1">
        <v>2</v>
      </c>
      <c r="D7" s="5">
        <f>11.99/2</f>
        <v>5.9950000000000001</v>
      </c>
      <c r="E7" s="1" t="s">
        <v>52</v>
      </c>
      <c r="F7" s="3" t="s">
        <v>39</v>
      </c>
    </row>
    <row r="8" spans="1:13" x14ac:dyDescent="0.25">
      <c r="A8" t="s">
        <v>14</v>
      </c>
      <c r="B8" s="1" t="s">
        <v>23</v>
      </c>
      <c r="C8" s="1">
        <v>1</v>
      </c>
      <c r="D8" s="1">
        <v>8.9700000000000006</v>
      </c>
      <c r="E8" s="1" t="s">
        <v>52</v>
      </c>
      <c r="F8" s="2" t="s">
        <v>40</v>
      </c>
    </row>
    <row r="9" spans="1:13" x14ac:dyDescent="0.25">
      <c r="A9" t="s">
        <v>47</v>
      </c>
      <c r="B9" s="1" t="s">
        <v>23</v>
      </c>
      <c r="C9" s="1">
        <v>20</v>
      </c>
      <c r="D9" s="1">
        <v>0.12</v>
      </c>
      <c r="E9" s="1" t="s">
        <v>52</v>
      </c>
      <c r="F9" s="7" t="s">
        <v>64</v>
      </c>
    </row>
    <row r="10" spans="1:13" x14ac:dyDescent="0.25">
      <c r="A10" t="s">
        <v>96</v>
      </c>
      <c r="B10" s="1" t="s">
        <v>23</v>
      </c>
      <c r="C10" s="1">
        <v>25</v>
      </c>
      <c r="D10" s="1">
        <v>4.42</v>
      </c>
      <c r="E10" s="1" t="s">
        <v>53</v>
      </c>
      <c r="F10" s="2" t="s">
        <v>99</v>
      </c>
    </row>
    <row r="11" spans="1:13" x14ac:dyDescent="0.25">
      <c r="F11" s="9"/>
    </row>
  </sheetData>
  <conditionalFormatting sqref="E1:E1048576">
    <cfRule type="cellIs" dxfId="1" priority="1" operator="equal">
      <formula>"Y"</formula>
    </cfRule>
  </conditionalFormatting>
  <hyperlinks>
    <hyperlink ref="F7" r:id="rId1" xr:uid="{53C4CC5E-18BB-493C-B4BF-A5DBA279DD54}"/>
    <hyperlink ref="F6" r:id="rId2" xr:uid="{0004C175-5738-4B8F-BD83-32A5A30FB28E}"/>
    <hyperlink ref="F4" r:id="rId3" xr:uid="{0E92F0AD-782A-4CF6-8DF2-62BFB580A776}"/>
    <hyperlink ref="F3" r:id="rId4" xr:uid="{7B1E3156-A427-4EE6-BDAE-640964CFC534}"/>
    <hyperlink ref="F9" r:id="rId5" xr:uid="{4D5B5F44-6C1C-49C0-8972-E0BE3BA5E7E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7C91-B27A-4B31-A491-3C36347AA9A2}">
  <sheetPr>
    <tabColor theme="0"/>
  </sheetPr>
  <dimension ref="A1:M5"/>
  <sheetViews>
    <sheetView tabSelected="1" workbookViewId="0">
      <selection activeCell="I43" sqref="I43"/>
    </sheetView>
  </sheetViews>
  <sheetFormatPr defaultRowHeight="15" x14ac:dyDescent="0.25"/>
  <cols>
    <col min="1" max="1" width="28" bestFit="1" customWidth="1"/>
    <col min="2" max="2" width="11.5703125" style="1" customWidth="1"/>
    <col min="3" max="3" width="12.85546875" style="1" customWidth="1"/>
    <col min="4" max="5" width="12.140625" style="1" customWidth="1"/>
    <col min="6" max="6" width="9.140625" style="2"/>
  </cols>
  <sheetData>
    <row r="1" spans="1:13" x14ac:dyDescent="0.25">
      <c r="A1" t="s">
        <v>2</v>
      </c>
      <c r="B1" s="1" t="s">
        <v>7</v>
      </c>
      <c r="C1" s="1" t="s">
        <v>3</v>
      </c>
      <c r="D1" s="1" t="s">
        <v>4</v>
      </c>
      <c r="E1" s="1" t="s">
        <v>51</v>
      </c>
      <c r="F1" s="2" t="s">
        <v>5</v>
      </c>
    </row>
    <row r="2" spans="1:13" x14ac:dyDescent="0.25">
      <c r="A2" t="s">
        <v>95</v>
      </c>
      <c r="B2" s="1" t="s">
        <v>23</v>
      </c>
      <c r="C2" s="1">
        <v>1</v>
      </c>
      <c r="D2" s="1">
        <v>4.17</v>
      </c>
      <c r="E2" s="1" t="s">
        <v>52</v>
      </c>
      <c r="F2" s="3" t="s">
        <v>94</v>
      </c>
      <c r="M2" s="8"/>
    </row>
    <row r="3" spans="1:13" x14ac:dyDescent="0.25">
      <c r="A3" t="s">
        <v>76</v>
      </c>
      <c r="B3" s="1" t="s">
        <v>23</v>
      </c>
      <c r="C3" s="1">
        <v>1</v>
      </c>
      <c r="D3" s="1">
        <v>57.99</v>
      </c>
      <c r="E3" s="1" t="s">
        <v>52</v>
      </c>
      <c r="F3" s="3" t="s">
        <v>77</v>
      </c>
      <c r="M3" s="8"/>
    </row>
    <row r="4" spans="1:13" x14ac:dyDescent="0.25">
      <c r="A4" t="s">
        <v>6</v>
      </c>
      <c r="B4" s="1" t="s">
        <v>23</v>
      </c>
      <c r="C4" s="1">
        <v>1</v>
      </c>
      <c r="D4" s="1">
        <v>38.49</v>
      </c>
      <c r="E4" s="1" t="s">
        <v>52</v>
      </c>
      <c r="F4" s="3" t="s">
        <v>29</v>
      </c>
    </row>
    <row r="5" spans="1:13" x14ac:dyDescent="0.25">
      <c r="A5" t="s">
        <v>10</v>
      </c>
      <c r="B5" s="1" t="s">
        <v>23</v>
      </c>
      <c r="C5" s="1">
        <v>1</v>
      </c>
      <c r="D5" s="1">
        <v>40.57</v>
      </c>
      <c r="E5" s="1" t="s">
        <v>52</v>
      </c>
      <c r="F5" s="3" t="s">
        <v>30</v>
      </c>
    </row>
  </sheetData>
  <conditionalFormatting sqref="E1:E1048576">
    <cfRule type="cellIs" dxfId="0" priority="1" operator="equal">
      <formula>"Y"</formula>
    </cfRule>
  </conditionalFormatting>
  <hyperlinks>
    <hyperlink ref="F3" r:id="rId1" xr:uid="{33A92E14-CC68-4656-B82C-8BE565F4FCFD}"/>
    <hyperlink ref="F4" r:id="rId2" xr:uid="{50C17E5A-DE64-49D2-A6A1-C7139C62E0DA}"/>
    <hyperlink ref="F5" r:id="rId3" xr:uid="{B212F068-A19C-47FA-90E5-D3A0FCB21397}"/>
    <hyperlink ref="F2" r:id="rId4" xr:uid="{8D12B446-A1E6-4BA4-B34B-90C2C49FCAC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440327c-db0c-40f7-973b-7bc2ae283ce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9431A864773547893222757859AEDB" ma:contentTypeVersion="14" ma:contentTypeDescription="Create a new document." ma:contentTypeScope="" ma:versionID="8d93b3794edbd64c1f12ce1859fb2ebb">
  <xsd:schema xmlns:xsd="http://www.w3.org/2001/XMLSchema" xmlns:xs="http://www.w3.org/2001/XMLSchema" xmlns:p="http://schemas.microsoft.com/office/2006/metadata/properties" xmlns:ns3="c440327c-db0c-40f7-973b-7bc2ae283ce2" xmlns:ns4="3bf09d50-f695-4e18-a2ec-955b0ff6d5dc" targetNamespace="http://schemas.microsoft.com/office/2006/metadata/properties" ma:root="true" ma:fieldsID="ab198344f7607dd971ab6c53863418c3" ns3:_="" ns4:_="">
    <xsd:import namespace="c440327c-db0c-40f7-973b-7bc2ae283ce2"/>
    <xsd:import namespace="3bf09d50-f695-4e18-a2ec-955b0ff6d5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BillingMetadata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40327c-db0c-40f7-973b-7bc2ae283c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f09d50-f695-4e18-a2ec-955b0ff6d5d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0E0E22-42B5-4B4A-934D-04548B25B0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120B44-02FC-4D2A-B0A5-AADC531A6E78}">
  <ds:schemaRefs>
    <ds:schemaRef ds:uri="c440327c-db0c-40f7-973b-7bc2ae283ce2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3bf09d50-f695-4e18-a2ec-955b0ff6d5dc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C5615A-B0FE-40B8-955A-C3851BD0A6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40327c-db0c-40f7-973b-7bc2ae283ce2"/>
    <ds:schemaRef ds:uri="3bf09d50-f695-4e18-a2ec-955b0ff6d5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Aircraft Cost Grand Total</vt:lpstr>
      <vt:lpstr>Per Assembly Cost --&gt;</vt:lpstr>
      <vt:lpstr>Avionics BOM</vt:lpstr>
      <vt:lpstr>Structures BOM</vt:lpstr>
      <vt:lpstr>Mechanisms BOM</vt:lpstr>
      <vt:lpstr>Propulsion 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Louis Chaix rozas</dc:creator>
  <cp:lastModifiedBy>Jackson Thomas Preisler</cp:lastModifiedBy>
  <dcterms:created xsi:type="dcterms:W3CDTF">2026-10-01T03:56:21Z</dcterms:created>
  <dcterms:modified xsi:type="dcterms:W3CDTF">2026-10-23T02:49:42Z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0x0101006F9431A864773547893222757859AEDB</vt:lpwstr>
  </property>
</Properties>
</file>