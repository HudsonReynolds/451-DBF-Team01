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F3449F9D-46B8-46FF-A78A-F530D8293688}" xr6:coauthVersionLast="47" xr6:coauthVersionMax="47" xr10:uidLastSave="{00000000-0000-0000-0000-000000000000}"/>
  <bookViews>
    <workbookView xWindow="-120" yWindow="-120" windowWidth="38640" windowHeight="21120" tabRatio="831" activeTab="2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3" l="1"/>
  <c r="D7" i="4"/>
  <c r="D13" i="3"/>
  <c r="D12" i="3"/>
  <c r="D5" i="2"/>
  <c r="D4" i="2"/>
  <c r="B2" i="6"/>
  <c r="D3" i="3"/>
  <c r="B4" i="6"/>
  <c r="B5" i="6"/>
  <c r="B3" i="6" l="1"/>
  <c r="B1" i="1" s="1"/>
</calcChain>
</file>

<file path=xl/sharedStrings.xml><?xml version="1.0" encoding="utf-8"?>
<sst xmlns="http://schemas.openxmlformats.org/spreadsheetml/2006/main" count="174" uniqueCount="83">
  <si>
    <t>M4 30mm bolt</t>
  </si>
  <si>
    <t>M4 60mm bolt</t>
  </si>
  <si>
    <t>Part</t>
  </si>
  <si>
    <t>Quantity</t>
  </si>
  <si>
    <t>Total Cost</t>
  </si>
  <si>
    <t>Link</t>
  </si>
  <si>
    <t>10x7E Prop</t>
  </si>
  <si>
    <t>Cobra 3520/10</t>
  </si>
  <si>
    <t>RC Electric Parts 80A ESC</t>
  </si>
  <si>
    <t>Type</t>
  </si>
  <si>
    <t>M4 x 0.7mm washer</t>
  </si>
  <si>
    <t>M4 think locknut</t>
  </si>
  <si>
    <t>Turnigy 4Cell 4000 mAh Battery</t>
  </si>
  <si>
    <t>1/16 x 1/2 x 1/2 aluminum tube - 6ft</t>
  </si>
  <si>
    <t>Plywood 4x8</t>
  </si>
  <si>
    <t xml:space="preserve">Foam Board </t>
  </si>
  <si>
    <t>Control Horns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</si>
  <si>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</si>
  <si>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</si>
  <si>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</si>
  <si>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</si>
  <si>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</si>
  <si>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</si>
  <si>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</si>
  <si>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</si>
  <si>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</si>
  <si>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https://www.homedepot.com/p/Plytanium-1-4-in-x-4-ft-x-8-ft-BC-Sanded-Pine-Plywood-235552/100063669</t>
  </si>
  <si>
    <t>https://www.homedepot.com/p/Owens-Corning-FOAMULAR-NGX-F-250-2-in-x-4-ft-x-8-ft-SSE-R-10-XPS-Rigid-Foam-Board-Insulation-52DDNGX/315197962</t>
  </si>
  <si>
    <t>https://www.apcprop.com/product/10x7e/?v=0b3b97fa6688</t>
  </si>
  <si>
    <t>Purchased</t>
  </si>
  <si>
    <t>Assembly</t>
  </si>
  <si>
    <t>Avionics</t>
  </si>
  <si>
    <t>Structures</t>
  </si>
  <si>
    <t>Mechanism</t>
  </si>
  <si>
    <t>Propulsion</t>
  </si>
  <si>
    <t>https://www.cobramotorsusa.com/motors-3520-10.html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</si>
  <si>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</si>
  <si>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</si>
  <si>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</si>
  <si>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</si>
  <si>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</si>
  <si>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</si>
  <si>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</si>
  <si>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1/16 x 1/2 x 1/2 aluminum tube - 3ft</t>
  </si>
  <si>
    <t>https://www.mcmaster.com/products/91274a122/</t>
  </si>
  <si>
    <t>M4 25mm bolt</t>
  </si>
  <si>
    <t>https://www.horizonhobby.com/product/wheel-set-3-carbon-z-t-28/EFL1310.html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</si>
  <si>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</si>
  <si>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</si>
  <si>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</si>
  <si>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</si>
  <si>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https://www.readymaderc.com/products/details/60cm-24-inch-jr-style-22awg-twisted-servo-cable</t>
  </si>
  <si>
    <t>https://www.mcmaster.com/2113N16/</t>
  </si>
  <si>
    <t>https://www.readymaderc.com/products/details/strix-battery-strap-20-300-mm-2pcs</t>
  </si>
  <si>
    <t>Rubber Bands</t>
  </si>
  <si>
    <t>Foam Adhesive Tape</t>
  </si>
  <si>
    <t>https://www.homedepot.com/p/Owens-Corning-HomeSealR-3-in-x-180-ft-Foam-Board-Joint-Tape-1441820/300223152</t>
  </si>
  <si>
    <t>Control Rods</t>
  </si>
  <si>
    <t>LAB STOCK?</t>
  </si>
  <si>
    <t>Y</t>
  </si>
  <si>
    <t>N</t>
  </si>
  <si>
    <t>https://www.amazon.com/Standard-Control-17-5x26-Airplane-Replacement/dp/B019I0U8NG</t>
  </si>
  <si>
    <t>https://www.amazon.com/uxcell-1-2mm-450mm-Airplane-Replacement/dp/B08K7SFD44/ref=sr_1_5?dib=eyJ2IjoiMSJ9.Xv4Fl3SO-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hjoYWOD4Yyq8eCHEQX1GgJdtS7lgvoIz4I4gE9OJmv0Pfpo33JR1AmjuBR1lGVoHsZTS9NA2lB3Db4m8RU_RmouEuuf60fKcDtOCAsT16KfdGIvOWhHHp3vpcK78yX_YpiwUrBfH_uBmARbqz2aTljlkTVo9tz1jM23THeEwLyOJEs9Ox2Oh3rqOMy85hEGvplJPE06rhEegLODbrXBsUrGEKSKdHLd-WQ.E_9_LKhsTYuPwrU52Ke5dijHkXW8E0HgM0qeneplYhY&amp;dib_tag=se&amp;keywords=control%2Brods&amp;qid=1760542926&amp;sr=8-5&amp;th=1</t>
  </si>
  <si>
    <t>https://www.horizonhobby.com/product/main-landing-gear-valiant-10cc/HAN508010.html</t>
  </si>
  <si>
    <t>1ft x 1.125 x 1.125 in extruded L Aluminum</t>
  </si>
  <si>
    <t>https://us.store.bambulab.com/products/pla-basic-filament?id=42844629008520</t>
  </si>
  <si>
    <t>Servo Mount PLA</t>
  </si>
  <si>
    <t>Motor Cover Print PLA</t>
  </si>
  <si>
    <t>Wing Dihedral Print PLA</t>
  </si>
  <si>
    <t>Tail Mount Print ABS</t>
  </si>
  <si>
    <t>https://us.store.bambulab.com/products/abs-filament</t>
  </si>
  <si>
    <t>Airspeed Sensor Print PLA</t>
  </si>
  <si>
    <t>https://www.mcmaster.com/12205T76/</t>
  </si>
  <si>
    <t>12 ft</t>
  </si>
  <si>
    <t>Dowels</t>
  </si>
  <si>
    <t xml:space="preserve">Gorilla Wood Glue </t>
  </si>
  <si>
    <t>Gorilla Super Glue</t>
  </si>
  <si>
    <t>https://www.homedepot.com/p/Gorilla-8-oz-Wood-Glue-Natural-62000/100672167</t>
  </si>
  <si>
    <t>6 oz</t>
  </si>
  <si>
    <t>https://www.homedepot.com/p/Gorilla-25g-Super-Glue-XL-7400202/329800516</t>
  </si>
  <si>
    <t>15g</t>
  </si>
  <si>
    <t>https://www.mcmaster.com/94669A135/</t>
  </si>
  <si>
    <t>Aluminum 40mm x 8 mm OD Spacer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</si>
</sst>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1" applyFill="1" applyAlignment="1">
      <alignment horizontal="left"/>
    </xf>
    <xf numFmtId="0" fontId="0" fillId="0" borderId="0" xfId="0" applyFill="1" applyAlignment="1">
      <alignment horizontal="left"/>
    </xf>
    <xf numFmtId="2" fontId="0" fillId="0" borderId="0" xfId="0" applyNumberFormat="1" applyFill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5" Type="http://schemas.openxmlformats.org/officeDocument/2006/relationships/hyperlink" Target="https://us.store.bambulab.com/products/pla-basic-filament?id=42844629008520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93475a230/" TargetMode="External"/><Relationship Id="rId3" Type="http://schemas.openxmlformats.org/officeDocument/2006/relationships/hyperlink" Target="https://us.store.bambulab.com/products/pla-basic-filament?id=42844629008520" TargetMode="External"/><Relationship Id="rId7" Type="http://schemas.openxmlformats.org/officeDocument/2006/relationships/hyperlink" Target="https://www.homedepot.com/p/Owens-Corning-HomeSealR-3-in-x-180-ft-Foam-Board-Joint-Tape-1441820/300223152" TargetMode="External"/><Relationship Id="rId12" Type="http://schemas.openxmlformats.org/officeDocument/2006/relationships/hyperlink" Target="https://www.mcmaster.com/products/90453a112/" TargetMode="External"/><Relationship Id="rId2" Type="http://schemas.openxmlformats.org/officeDocument/2006/relationships/hyperlink" Target="https://us.store.bambulab.com/products/pla-basic-filament?id=42844629008520" TargetMode="External"/><Relationship Id="rId16" Type="http://schemas.openxmlformats.org/officeDocument/2006/relationships/hyperlink" Target="https://us.store.bambulab.com/products/abs-filament" TargetMode="External"/><Relationship Id="rId1" Type="http://schemas.openxmlformats.org/officeDocument/2006/relationships/hyperlink" Target="https://us.store.bambulab.com/products/abs-filament" TargetMode="External"/><Relationship Id="rId6" Type="http://schemas.openxmlformats.org/officeDocument/2006/relationships/hyperlink" Target="https://www.mcmaster.com/94669A135/" TargetMode="External"/><Relationship Id="rId11" Type="http://schemas.openxmlformats.org/officeDocument/2006/relationships/hyperlink" Target="https://www.mcmaster.com/products/91290a172/" TargetMode="External"/><Relationship Id="rId5" Type="http://schemas.openxmlformats.org/officeDocument/2006/relationships/hyperlink" Target="https://www.mcmaster.com/products/6546k49/" TargetMode="External"/><Relationship Id="rId15" Type="http://schemas.openxmlformats.org/officeDocument/2006/relationships/hyperlink" Target="https://www.mcmaster.com/products/8982k6/" TargetMode="External"/><Relationship Id="rId10" Type="http://schemas.openxmlformats.org/officeDocument/2006/relationships/hyperlink" Target="https://www.mcmaster.com/products/91290a647/" TargetMode="External"/><Relationship Id="rId4" Type="http://schemas.openxmlformats.org/officeDocument/2006/relationships/hyperlink" Target="https://www.mcmaster.com/products/91274a122/" TargetMode="External"/><Relationship Id="rId9" Type="http://schemas.openxmlformats.org/officeDocument/2006/relationships/hyperlink" Target="https://www.homedepot.com/p/Plytanium-1-4-in-x-4-ft-x-8-ft-BC-Sanded-Pine-Plywood-235552/100063669" TargetMode="External"/><Relationship Id="rId14" Type="http://schemas.openxmlformats.org/officeDocument/2006/relationships/hyperlink" Target="https://www.mcmaster.com/products/6546k49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Standard-Control-17-5x26-Airplane-Replacement/dp/B019I0U8NG" TargetMode="External"/><Relationship Id="rId2" Type="http://schemas.openxmlformats.org/officeDocument/2006/relationships/hyperlink" Target="https://www.horizonhobby.com/product/main-landing-gear-valiant-10cc/HAN508010.html" TargetMode="External"/><Relationship Id="rId1" Type="http://schemas.openxmlformats.org/officeDocument/2006/relationships/hyperlink" Target="https://www.horizonhobby.com/product/wheel-set-3-carbon-z-t-28/EFL1310.html" TargetMode="External"/><Relationship Id="rId5" Type="http://schemas.openxmlformats.org/officeDocument/2006/relationships/hyperlink" Target="https://www.mcmaster.com/12205T76/" TargetMode="External"/><Relationship Id="rId4" Type="http://schemas.openxmlformats.org/officeDocument/2006/relationships/hyperlink" Target="https://us.store.bambulab.com/products/pla-basic-filament?id=4284462900852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RC-Electric-Controller-Brushless-Motors/dp/B071GRSFBD?th=1" TargetMode="External"/><Relationship Id="rId2" Type="http://schemas.openxmlformats.org/officeDocument/2006/relationships/hyperlink" Target="https://www.cobramotorsusa.com/motors-3520-10.html" TargetMode="External"/><Relationship Id="rId1" Type="http://schemas.openxmlformats.org/officeDocument/2006/relationships/hyperlink" Target="https://www.apcprop.com/product/10x7e/?v=0b3b97fa6688" TargetMode="External"/><Relationship Id="rId4" Type="http://schemas.openxmlformats.org/officeDocument/2006/relationships/hyperlink" Target="https://hobbyking.com/en_us/turnigy-battery-4000mah-4s-30c-lipo-pack-xt-60.html?srsltid=AU7gw4WVGopDsORjxCL-xylPi1hT8fcP1h7w3tHevpSY-TgKOw5vp4l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F22" sqref="F22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4</v>
      </c>
      <c r="B1" s="4">
        <f>SUM('Per Assembly Cost --&gt;'!B:B)</f>
        <v>355.51941778975743</v>
      </c>
    </row>
  </sheetData>
  <conditionalFormatting sqref="B1">
    <cfRule type="cellIs" dxfId="9" priority="1" operator="lessThan">
      <formula>400</formula>
    </cfRule>
    <cfRule type="cellIs" dxfId="8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B2" sqref="B2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30</v>
      </c>
      <c r="B1" s="1" t="s">
        <v>4</v>
      </c>
    </row>
    <row r="2" spans="1:2" x14ac:dyDescent="0.25">
      <c r="A2" t="s">
        <v>31</v>
      </c>
      <c r="B2" s="5">
        <f>SUM('Avionics BOM'!D:D)</f>
        <v>14.695417789757411</v>
      </c>
    </row>
    <row r="3" spans="1:2" x14ac:dyDescent="0.25">
      <c r="A3" t="s">
        <v>32</v>
      </c>
      <c r="B3" s="1">
        <f>SUM('Structures BOM'!D:D)</f>
        <v>146.80300000000003</v>
      </c>
    </row>
    <row r="4" spans="1:2" x14ac:dyDescent="0.25">
      <c r="A4" t="s">
        <v>33</v>
      </c>
      <c r="B4" s="1">
        <f>SUM('Mechanisms BOM'!D:D)</f>
        <v>53.330999999999996</v>
      </c>
    </row>
    <row r="5" spans="1:2" x14ac:dyDescent="0.25">
      <c r="A5" t="s">
        <v>34</v>
      </c>
      <c r="B5" s="1">
        <f>SUM('Propulsion BOM'!D:D)</f>
        <v>140.69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F6"/>
  <sheetViews>
    <sheetView tabSelected="1" workbookViewId="0">
      <selection activeCell="H20" sqref="H20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11.28515625" style="1" bestFit="1" customWidth="1"/>
    <col min="6" max="6" width="9.140625" style="2"/>
  </cols>
  <sheetData>
    <row r="1" spans="1:6" x14ac:dyDescent="0.25">
      <c r="A1" t="s">
        <v>2</v>
      </c>
      <c r="B1" s="1" t="s">
        <v>9</v>
      </c>
      <c r="C1" s="1" t="s">
        <v>3</v>
      </c>
      <c r="D1" s="1" t="s">
        <v>4</v>
      </c>
      <c r="E1" s="1" t="s">
        <v>58</v>
      </c>
      <c r="F1" s="2" t="s">
        <v>5</v>
      </c>
    </row>
    <row r="2" spans="1:6" x14ac:dyDescent="0.25">
      <c r="A2" t="s">
        <v>48</v>
      </c>
      <c r="B2" s="1" t="s">
        <v>29</v>
      </c>
      <c r="C2" s="1">
        <v>4</v>
      </c>
      <c r="D2" s="1">
        <v>7.16</v>
      </c>
      <c r="E2" s="1" t="s">
        <v>60</v>
      </c>
      <c r="F2" s="3" t="s">
        <v>49</v>
      </c>
    </row>
    <row r="3" spans="1:6" x14ac:dyDescent="0.25">
      <c r="A3" t="s">
        <v>50</v>
      </c>
      <c r="B3" s="1" t="s">
        <v>29</v>
      </c>
      <c r="C3" s="1">
        <v>1</v>
      </c>
      <c r="D3" s="1">
        <v>1.59</v>
      </c>
      <c r="E3" s="1" t="s">
        <v>60</v>
      </c>
      <c r="F3" s="3" t="s">
        <v>51</v>
      </c>
    </row>
    <row r="4" spans="1:6" x14ac:dyDescent="0.25">
      <c r="A4" t="s">
        <v>38</v>
      </c>
      <c r="B4" s="1" t="s">
        <v>29</v>
      </c>
      <c r="C4" s="1">
        <v>3</v>
      </c>
      <c r="D4" s="1">
        <f>3*0.99</f>
        <v>2.9699999999999998</v>
      </c>
      <c r="E4" s="1" t="s">
        <v>59</v>
      </c>
      <c r="F4" s="3" t="s">
        <v>53</v>
      </c>
    </row>
    <row r="5" spans="1:6" x14ac:dyDescent="0.25">
      <c r="A5" t="s">
        <v>39</v>
      </c>
      <c r="B5" s="1" t="s">
        <v>29</v>
      </c>
      <c r="C5" s="1">
        <v>20</v>
      </c>
      <c r="D5" s="5">
        <f>20/7.42</f>
        <v>2.6954177897574123</v>
      </c>
      <c r="E5" s="5" t="s">
        <v>59</v>
      </c>
      <c r="F5" s="3" t="s">
        <v>52</v>
      </c>
    </row>
    <row r="6" spans="1:6" x14ac:dyDescent="0.25">
      <c r="A6" t="s">
        <v>71</v>
      </c>
      <c r="B6" s="1" t="s">
        <v>41</v>
      </c>
      <c r="C6" s="1">
        <v>1</v>
      </c>
      <c r="D6" s="7">
        <v>0.28000000000000003</v>
      </c>
      <c r="E6" s="1" t="s">
        <v>41</v>
      </c>
      <c r="F6" s="3" t="s">
        <v>65</v>
      </c>
    </row>
  </sheetData>
  <conditionalFormatting sqref="E1:E5 E7:E1048576">
    <cfRule type="cellIs" dxfId="7" priority="2" operator="equal">
      <formula>"Y"</formula>
    </cfRule>
  </conditionalFormatting>
  <conditionalFormatting sqref="E6">
    <cfRule type="cellIs" dxfId="6" priority="1" operator="equal">
      <formula>"Y"</formula>
    </cfRule>
  </conditionalFormatting>
  <hyperlinks>
    <hyperlink ref="F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F3" r:id="rId2" xr:uid="{AA186CBF-1F4D-4354-8F4C-254D5CF88C30}"/>
    <hyperlink ref="F5" r:id="rId3" xr:uid="{1CEF71FE-8065-4760-8150-4B4B1DA37CD5}"/>
    <hyperlink ref="F4" r:id="rId4" xr:uid="{4EAF33CA-E17C-43DA-8633-E519A1EDF818}"/>
    <hyperlink ref="F6" r:id="rId5" xr:uid="{2C2E3C77-3EE6-4865-850F-8687E6DAA44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F19"/>
  <sheetViews>
    <sheetView workbookViewId="0">
      <selection activeCell="F26" sqref="F26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9.140625" style="1"/>
    <col min="5" max="5" width="11.28515625" style="1" bestFit="1" customWidth="1"/>
    <col min="6" max="6" width="9.140625" style="2"/>
  </cols>
  <sheetData>
    <row r="1" spans="1:6" x14ac:dyDescent="0.25">
      <c r="A1" t="s">
        <v>2</v>
      </c>
      <c r="B1" s="1" t="s">
        <v>9</v>
      </c>
      <c r="C1" s="1" t="s">
        <v>3</v>
      </c>
      <c r="D1" s="1" t="s">
        <v>4</v>
      </c>
      <c r="E1" s="1" t="s">
        <v>58</v>
      </c>
      <c r="F1" s="2" t="s">
        <v>5</v>
      </c>
    </row>
    <row r="2" spans="1:6" x14ac:dyDescent="0.25">
      <c r="A2" t="s">
        <v>14</v>
      </c>
      <c r="B2" s="1" t="s">
        <v>29</v>
      </c>
      <c r="C2" s="1">
        <v>1</v>
      </c>
      <c r="D2" s="7">
        <v>26.26</v>
      </c>
      <c r="E2" s="1" t="s">
        <v>60</v>
      </c>
      <c r="F2" s="3" t="s">
        <v>26</v>
      </c>
    </row>
    <row r="3" spans="1:6" x14ac:dyDescent="0.25">
      <c r="A3" t="s">
        <v>15</v>
      </c>
      <c r="B3" s="1" t="s">
        <v>29</v>
      </c>
      <c r="C3" s="1">
        <v>1</v>
      </c>
      <c r="D3" s="7">
        <f>55.6/2</f>
        <v>27.8</v>
      </c>
      <c r="E3" s="1" t="s">
        <v>59</v>
      </c>
      <c r="F3" s="3" t="s">
        <v>27</v>
      </c>
    </row>
    <row r="4" spans="1:6" x14ac:dyDescent="0.25">
      <c r="A4" t="s">
        <v>0</v>
      </c>
      <c r="B4" s="1" t="s">
        <v>29</v>
      </c>
      <c r="C4" s="1">
        <v>5</v>
      </c>
      <c r="D4" s="1">
        <v>2.97</v>
      </c>
      <c r="E4" s="1" t="s">
        <v>60</v>
      </c>
      <c r="F4" s="3" t="s">
        <v>24</v>
      </c>
    </row>
    <row r="5" spans="1:6" x14ac:dyDescent="0.25">
      <c r="A5" t="s">
        <v>45</v>
      </c>
      <c r="B5" s="1" t="s">
        <v>29</v>
      </c>
      <c r="C5" s="1">
        <v>25</v>
      </c>
      <c r="D5" s="1">
        <v>4.5999999999999996</v>
      </c>
      <c r="E5" s="1" t="s">
        <v>60</v>
      </c>
      <c r="F5" s="3" t="s">
        <v>44</v>
      </c>
    </row>
    <row r="6" spans="1:6" x14ac:dyDescent="0.25">
      <c r="A6" t="s">
        <v>1</v>
      </c>
      <c r="B6" s="1" t="s">
        <v>29</v>
      </c>
      <c r="C6" s="1">
        <v>25</v>
      </c>
      <c r="D6" s="1">
        <v>5.55</v>
      </c>
      <c r="E6" s="1" t="s">
        <v>60</v>
      </c>
      <c r="F6" s="3" t="s">
        <v>25</v>
      </c>
    </row>
    <row r="7" spans="1:6" x14ac:dyDescent="0.25">
      <c r="A7" t="s">
        <v>10</v>
      </c>
      <c r="B7" s="1" t="s">
        <v>29</v>
      </c>
      <c r="C7" s="1">
        <v>100</v>
      </c>
      <c r="D7" s="1">
        <v>3.93</v>
      </c>
      <c r="E7" s="1" t="s">
        <v>60</v>
      </c>
      <c r="F7" s="3" t="s">
        <v>22</v>
      </c>
    </row>
    <row r="8" spans="1:6" x14ac:dyDescent="0.25">
      <c r="A8" t="s">
        <v>11</v>
      </c>
      <c r="B8" s="1" t="s">
        <v>29</v>
      </c>
      <c r="C8" s="1">
        <v>25</v>
      </c>
      <c r="D8" s="1">
        <v>7.14</v>
      </c>
      <c r="E8" s="1" t="s">
        <v>60</v>
      </c>
      <c r="F8" s="3" t="s">
        <v>23</v>
      </c>
    </row>
    <row r="9" spans="1:6" x14ac:dyDescent="0.25">
      <c r="A9" t="s">
        <v>13</v>
      </c>
      <c r="B9" s="1" t="s">
        <v>29</v>
      </c>
      <c r="C9" s="1">
        <v>1</v>
      </c>
      <c r="D9" s="1">
        <v>24.6</v>
      </c>
      <c r="E9" s="1" t="s">
        <v>60</v>
      </c>
      <c r="F9" s="3" t="s">
        <v>20</v>
      </c>
    </row>
    <row r="10" spans="1:6" x14ac:dyDescent="0.25">
      <c r="A10" t="s">
        <v>43</v>
      </c>
      <c r="B10" s="1" t="s">
        <v>29</v>
      </c>
      <c r="C10" s="1">
        <v>1</v>
      </c>
      <c r="D10" s="1">
        <v>14.27</v>
      </c>
      <c r="E10" s="1" t="s">
        <v>60</v>
      </c>
      <c r="F10" s="3" t="s">
        <v>20</v>
      </c>
    </row>
    <row r="11" spans="1:6" x14ac:dyDescent="0.25">
      <c r="A11" t="s">
        <v>64</v>
      </c>
      <c r="B11" s="1" t="s">
        <v>29</v>
      </c>
      <c r="C11" s="1">
        <v>1</v>
      </c>
      <c r="D11" s="1">
        <v>3.94</v>
      </c>
      <c r="E11" s="1" t="s">
        <v>60</v>
      </c>
      <c r="F11" s="3" t="s">
        <v>21</v>
      </c>
    </row>
    <row r="12" spans="1:6" x14ac:dyDescent="0.25">
      <c r="A12" t="s">
        <v>75</v>
      </c>
      <c r="B12" s="1" t="s">
        <v>29</v>
      </c>
      <c r="C12" s="1" t="s">
        <v>78</v>
      </c>
      <c r="D12" s="10">
        <f>4.98/8*6</f>
        <v>3.7350000000000003</v>
      </c>
      <c r="E12" s="1" t="s">
        <v>59</v>
      </c>
      <c r="F12" s="8" t="s">
        <v>77</v>
      </c>
    </row>
    <row r="13" spans="1:6" x14ac:dyDescent="0.25">
      <c r="A13" t="s">
        <v>76</v>
      </c>
      <c r="B13" s="1" t="s">
        <v>29</v>
      </c>
      <c r="C13" s="1" t="s">
        <v>80</v>
      </c>
      <c r="D13" s="10">
        <f>9.98*0.6</f>
        <v>5.9880000000000004</v>
      </c>
      <c r="E13" s="1" t="s">
        <v>59</v>
      </c>
      <c r="F13" s="9" t="s">
        <v>79</v>
      </c>
    </row>
    <row r="14" spans="1:6" x14ac:dyDescent="0.25">
      <c r="A14" t="s">
        <v>82</v>
      </c>
      <c r="B14" s="1" t="s">
        <v>29</v>
      </c>
      <c r="C14" s="1">
        <v>4</v>
      </c>
      <c r="D14" s="1">
        <f>2.46*4</f>
        <v>9.84</v>
      </c>
      <c r="E14" s="1" t="s">
        <v>60</v>
      </c>
      <c r="F14" s="3" t="s">
        <v>81</v>
      </c>
    </row>
    <row r="15" spans="1:6" x14ac:dyDescent="0.25">
      <c r="A15" t="s">
        <v>55</v>
      </c>
      <c r="B15" s="1" t="s">
        <v>29</v>
      </c>
      <c r="C15" s="1" t="s">
        <v>73</v>
      </c>
      <c r="D15" s="1">
        <v>4.07</v>
      </c>
      <c r="E15" s="1" t="s">
        <v>59</v>
      </c>
      <c r="F15" s="3" t="s">
        <v>56</v>
      </c>
    </row>
    <row r="16" spans="1:6" x14ac:dyDescent="0.25">
      <c r="A16" t="s">
        <v>69</v>
      </c>
      <c r="B16" s="1" t="s">
        <v>41</v>
      </c>
      <c r="C16" s="1">
        <v>1</v>
      </c>
      <c r="D16" s="7">
        <v>1.0900000000000001</v>
      </c>
      <c r="E16" s="1" t="s">
        <v>41</v>
      </c>
      <c r="F16" s="3" t="s">
        <v>70</v>
      </c>
    </row>
    <row r="17" spans="1:6" x14ac:dyDescent="0.25">
      <c r="A17" t="s">
        <v>68</v>
      </c>
      <c r="B17" s="1" t="s">
        <v>41</v>
      </c>
      <c r="C17" s="1">
        <v>1</v>
      </c>
      <c r="D17" s="7">
        <v>0.06</v>
      </c>
      <c r="E17" s="1" t="s">
        <v>41</v>
      </c>
      <c r="F17" s="3" t="s">
        <v>65</v>
      </c>
    </row>
    <row r="18" spans="1:6" x14ac:dyDescent="0.25">
      <c r="A18" t="s">
        <v>67</v>
      </c>
      <c r="B18" s="1" t="s">
        <v>41</v>
      </c>
      <c r="C18" s="1">
        <v>1</v>
      </c>
      <c r="D18" s="7">
        <v>0.91</v>
      </c>
      <c r="E18" s="1" t="s">
        <v>41</v>
      </c>
      <c r="F18" s="3" t="s">
        <v>65</v>
      </c>
    </row>
    <row r="19" spans="1:6" x14ac:dyDescent="0.25">
      <c r="A19" t="s">
        <v>74</v>
      </c>
      <c r="B19" s="1" t="s">
        <v>41</v>
      </c>
      <c r="C19" s="1">
        <v>4</v>
      </c>
      <c r="D19" s="7">
        <v>0.05</v>
      </c>
      <c r="E19" s="1" t="s">
        <v>41</v>
      </c>
      <c r="F19" s="3" t="s">
        <v>70</v>
      </c>
    </row>
  </sheetData>
  <conditionalFormatting sqref="E1:E15 E20:E1048576">
    <cfRule type="cellIs" dxfId="5" priority="5" operator="equal">
      <formula>"Y"</formula>
    </cfRule>
  </conditionalFormatting>
  <conditionalFormatting sqref="E16:E17">
    <cfRule type="cellIs" dxfId="4" priority="3" operator="equal">
      <formula>"Y"</formula>
    </cfRule>
  </conditionalFormatting>
  <conditionalFormatting sqref="E18">
    <cfRule type="cellIs" dxfId="3" priority="2" operator="equal">
      <formula>"Y"</formula>
    </cfRule>
  </conditionalFormatting>
  <conditionalFormatting sqref="E19">
    <cfRule type="cellIs" dxfId="2" priority="1" operator="equal">
      <formula>"Y"</formula>
    </cfRule>
  </conditionalFormatting>
  <hyperlinks>
    <hyperlink ref="F16" r:id="rId1" xr:uid="{C7A4C835-2651-4775-9B34-D0ACB86D0FCC}"/>
    <hyperlink ref="F18" r:id="rId2" xr:uid="{9522780B-6A52-4DDE-B8E6-B5235444D7F4}"/>
    <hyperlink ref="F17" r:id="rId3" xr:uid="{52B7F4D8-0087-463C-BADE-67E924F10F6E}"/>
    <hyperlink ref="F5" r:id="rId4" xr:uid="{410C3B3D-E226-4918-926D-2343FE7E95FB}"/>
    <hyperlink ref="F10" r:id="rId5" xr:uid="{A329B7F4-245D-42E5-AACE-0CD364DDF33B}"/>
    <hyperlink ref="F14" r:id="rId6" xr:uid="{A91A1DE5-4331-40CB-B90C-715E0BCCB855}"/>
    <hyperlink ref="F15" r:id="rId7" xr:uid="{6293C65C-7FE4-4A84-B068-EDC9724F2BCC}"/>
    <hyperlink ref="F3" r:id="rId8" xr:uid="{EE40E960-AE93-490E-8684-32B42CB94C63}"/>
    <hyperlink ref="F2" r:id="rId9" xr:uid="{20180B92-8ABC-43AC-BBB8-7C093E6B2F3E}"/>
    <hyperlink ref="F6" r:id="rId10" xr:uid="{DAE67438-2EA2-46E6-AE59-3CE1BA52DE6A}"/>
    <hyperlink ref="F4" r:id="rId11" xr:uid="{675196D7-5C58-487C-8B15-98E28F3CC124}"/>
    <hyperlink ref="F8" r:id="rId12" xr:uid="{77BD64C6-BF95-404A-B01F-81F95BAFFFCD}"/>
    <hyperlink ref="F7" r:id="rId13" xr:uid="{3C1E28BD-D3E4-46AC-A0D8-E327EE566BE4}"/>
    <hyperlink ref="F9" r:id="rId14" xr:uid="{751BAEB2-26DC-4CAF-8D96-A38FD9446E87}"/>
    <hyperlink ref="F11" r:id="rId15" xr:uid="{9B3802E2-0DAA-4495-8E7B-C8A9F6A2FFA8}"/>
    <hyperlink ref="F19" r:id="rId16" xr:uid="{8B7798E1-B9EF-4C27-8F45-57F8754CF6C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F9"/>
  <sheetViews>
    <sheetView workbookViewId="0">
      <selection activeCell="G33" sqref="G33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11.28515625" style="1" bestFit="1" customWidth="1"/>
    <col min="6" max="6" width="9.140625" style="2"/>
  </cols>
  <sheetData>
    <row r="1" spans="1:6" x14ac:dyDescent="0.25">
      <c r="A1" t="s">
        <v>2</v>
      </c>
      <c r="B1" s="1" t="s">
        <v>9</v>
      </c>
      <c r="C1" s="1" t="s">
        <v>3</v>
      </c>
      <c r="D1" s="1" t="s">
        <v>4</v>
      </c>
      <c r="E1" s="1" t="s">
        <v>58</v>
      </c>
      <c r="F1" s="2" t="s">
        <v>5</v>
      </c>
    </row>
    <row r="2" spans="1:6" x14ac:dyDescent="0.25">
      <c r="A2" t="s">
        <v>40</v>
      </c>
      <c r="B2" s="1" t="s">
        <v>29</v>
      </c>
      <c r="C2" s="1">
        <v>4</v>
      </c>
      <c r="D2" s="1">
        <v>13.88</v>
      </c>
      <c r="E2" s="1" t="s">
        <v>59</v>
      </c>
      <c r="F2" s="2" t="s">
        <v>42</v>
      </c>
    </row>
    <row r="3" spans="1:6" x14ac:dyDescent="0.25">
      <c r="A3" t="s">
        <v>66</v>
      </c>
      <c r="B3" s="1" t="s">
        <v>41</v>
      </c>
      <c r="C3" s="1">
        <v>2</v>
      </c>
      <c r="D3" s="7">
        <v>0.11</v>
      </c>
      <c r="E3" s="1" t="s">
        <v>41</v>
      </c>
      <c r="F3" s="3" t="s">
        <v>65</v>
      </c>
    </row>
    <row r="4" spans="1:6" x14ac:dyDescent="0.25">
      <c r="A4" t="s">
        <v>16</v>
      </c>
      <c r="B4" s="1" t="s">
        <v>29</v>
      </c>
      <c r="C4" s="1">
        <v>4</v>
      </c>
      <c r="D4" s="1">
        <v>2.99</v>
      </c>
      <c r="E4" s="1" t="s">
        <v>59</v>
      </c>
      <c r="F4" s="3" t="s">
        <v>61</v>
      </c>
    </row>
    <row r="5" spans="1:6" x14ac:dyDescent="0.25">
      <c r="A5" t="s">
        <v>57</v>
      </c>
      <c r="B5" s="1" t="s">
        <v>29</v>
      </c>
      <c r="C5" s="1">
        <v>4</v>
      </c>
      <c r="D5" s="1">
        <v>6.2759999999999998</v>
      </c>
      <c r="E5" s="1" t="s">
        <v>59</v>
      </c>
      <c r="F5" s="2" t="s">
        <v>62</v>
      </c>
    </row>
    <row r="6" spans="1:6" x14ac:dyDescent="0.25">
      <c r="A6" t="s">
        <v>17</v>
      </c>
      <c r="B6" s="1" t="s">
        <v>29</v>
      </c>
      <c r="C6" s="1">
        <v>1</v>
      </c>
      <c r="D6" s="6">
        <v>14.99</v>
      </c>
      <c r="E6" s="1" t="s">
        <v>59</v>
      </c>
      <c r="F6" s="3" t="s">
        <v>63</v>
      </c>
    </row>
    <row r="7" spans="1:6" x14ac:dyDescent="0.25">
      <c r="A7" t="s">
        <v>19</v>
      </c>
      <c r="B7" s="1" t="s">
        <v>29</v>
      </c>
      <c r="C7" s="1">
        <v>2</v>
      </c>
      <c r="D7" s="10">
        <f>11.99/2</f>
        <v>5.9950000000000001</v>
      </c>
      <c r="E7" s="1" t="s">
        <v>59</v>
      </c>
      <c r="F7" s="3" t="s">
        <v>46</v>
      </c>
    </row>
    <row r="8" spans="1:6" x14ac:dyDescent="0.25">
      <c r="A8" t="s">
        <v>18</v>
      </c>
      <c r="B8" s="1" t="s">
        <v>29</v>
      </c>
      <c r="C8" s="1">
        <v>1</v>
      </c>
      <c r="D8" s="1">
        <v>8.9700000000000006</v>
      </c>
      <c r="E8" s="1" t="s">
        <v>59</v>
      </c>
      <c r="F8" s="2" t="s">
        <v>47</v>
      </c>
    </row>
    <row r="9" spans="1:6" x14ac:dyDescent="0.25">
      <c r="A9" t="s">
        <v>54</v>
      </c>
      <c r="B9" s="1" t="s">
        <v>29</v>
      </c>
      <c r="C9" s="1">
        <v>20</v>
      </c>
      <c r="D9" s="1">
        <v>0.12</v>
      </c>
      <c r="E9" s="1" t="s">
        <v>59</v>
      </c>
      <c r="F9" s="8" t="s">
        <v>72</v>
      </c>
    </row>
  </sheetData>
  <conditionalFormatting sqref="E1:E1048576">
    <cfRule type="cellIs" dxfId="1" priority="1" operator="equal">
      <formula>"Y"</formula>
    </cfRule>
  </conditionalFormatting>
  <hyperlinks>
    <hyperlink ref="F7" r:id="rId1" xr:uid="{53C4CC5E-18BB-493C-B4BF-A5DBA279DD54}"/>
    <hyperlink ref="F6" r:id="rId2" xr:uid="{0004C175-5738-4B8F-BD83-32A5A30FB28E}"/>
    <hyperlink ref="F4" r:id="rId3" xr:uid="{0E92F0AD-782A-4CF6-8DF2-62BFB580A776}"/>
    <hyperlink ref="F3" r:id="rId4" xr:uid="{7B1E3156-A427-4EE6-BDAE-640964CFC534}"/>
    <hyperlink ref="F9" r:id="rId5" xr:uid="{4D5B5F44-6C1C-49C0-8972-E0BE3BA5E7E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F5"/>
  <sheetViews>
    <sheetView workbookViewId="0">
      <selection activeCell="F28" sqref="F28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5" width="12.140625" style="1" customWidth="1"/>
    <col min="6" max="6" width="9.140625" style="2"/>
  </cols>
  <sheetData>
    <row r="1" spans="1:6" x14ac:dyDescent="0.25">
      <c r="A1" t="s">
        <v>2</v>
      </c>
      <c r="B1" s="1" t="s">
        <v>9</v>
      </c>
      <c r="C1" s="1" t="s">
        <v>3</v>
      </c>
      <c r="D1" s="1" t="s">
        <v>4</v>
      </c>
      <c r="E1" s="1" t="s">
        <v>58</v>
      </c>
      <c r="F1" s="2" t="s">
        <v>5</v>
      </c>
    </row>
    <row r="2" spans="1:6" x14ac:dyDescent="0.25">
      <c r="A2" t="s">
        <v>6</v>
      </c>
      <c r="B2" s="1" t="s">
        <v>29</v>
      </c>
      <c r="C2" s="1">
        <v>1</v>
      </c>
      <c r="D2" s="1">
        <v>3.64</v>
      </c>
      <c r="E2" s="1" t="s">
        <v>59</v>
      </c>
      <c r="F2" s="3" t="s">
        <v>28</v>
      </c>
    </row>
    <row r="3" spans="1:6" x14ac:dyDescent="0.25">
      <c r="A3" t="s">
        <v>7</v>
      </c>
      <c r="B3" s="1" t="s">
        <v>29</v>
      </c>
      <c r="C3" s="1">
        <v>1</v>
      </c>
      <c r="D3" s="1">
        <v>57.99</v>
      </c>
      <c r="E3" s="1" t="s">
        <v>59</v>
      </c>
      <c r="F3" s="3" t="s">
        <v>35</v>
      </c>
    </row>
    <row r="4" spans="1:6" x14ac:dyDescent="0.25">
      <c r="A4" t="s">
        <v>8</v>
      </c>
      <c r="B4" s="1" t="s">
        <v>29</v>
      </c>
      <c r="C4" s="1">
        <v>1</v>
      </c>
      <c r="D4" s="1">
        <v>38.49</v>
      </c>
      <c r="E4" s="1" t="s">
        <v>59</v>
      </c>
      <c r="F4" s="3" t="s">
        <v>36</v>
      </c>
    </row>
    <row r="5" spans="1:6" x14ac:dyDescent="0.25">
      <c r="A5" t="s">
        <v>12</v>
      </c>
      <c r="B5" s="1" t="s">
        <v>29</v>
      </c>
      <c r="C5" s="1">
        <v>1</v>
      </c>
      <c r="D5" s="1">
        <v>40.57</v>
      </c>
      <c r="E5" s="1" t="s">
        <v>59</v>
      </c>
      <c r="F5" s="3" t="s">
        <v>37</v>
      </c>
    </row>
  </sheetData>
  <conditionalFormatting sqref="E1:E1048576">
    <cfRule type="cellIs" dxfId="0" priority="1" operator="equal">
      <formula>"Y"</formula>
    </cfRule>
  </conditionalFormatting>
  <hyperlinks>
    <hyperlink ref="F2" r:id="rId1" xr:uid="{F52A4918-E897-4C4E-897E-D5215E045CA6}"/>
    <hyperlink ref="F3" r:id="rId2" xr:uid="{33A92E14-CC68-4656-B82C-8BE565F4FCFD}"/>
    <hyperlink ref="F4" r:id="rId3" xr:uid="{50C17E5A-DE64-49D2-A6A1-C7139C62E0DA}"/>
    <hyperlink ref="F5" r:id="rId4" xr:uid="{B212F068-A19C-47FA-90E5-D3A0FCB2139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2026-10-21T06:59:41Z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