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E25B8A8D-422B-4FE0-A8C2-9CE3BC6F0834}" xr6:coauthVersionLast="47" xr6:coauthVersionMax="47" xr10:uidLastSave="{00000000-0000-0000-0000-000000000000}"/>
  <bookViews>
    <workbookView xWindow="-120" yWindow="-120" windowWidth="38640" windowHeight="21120" tabRatio="831" activeTab="4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2" l="1"/>
  <c r="B2" i="6"/>
  <c r="D14" i="3"/>
  <c r="D7" i="4"/>
  <c r="D13" i="3"/>
  <c r="D12" i="3"/>
  <c r="D5" i="2"/>
  <c r="D3" i="3"/>
  <c r="B4" i="6"/>
  <c r="B5" i="6"/>
  <c r="B3" i="6" l="1"/>
  <c r="B1" i="1" s="1"/>
</calcChain>
</file>

<file path=xl/sharedStrings.xml><?xml version="1.0" encoding="utf-8"?>
<sst xmlns="http://schemas.openxmlformats.org/spreadsheetml/2006/main" count="208" uniqueCount="106">
  <si>
    <t>M4 30mm bolt</t>
  </si>
  <si>
    <t>M4 60mm bolt</t>
  </si>
  <si>
    <t>Part</t>
  </si>
  <si>
    <t>Quantity</t>
  </si>
  <si>
    <t>Total Cost</t>
  </si>
  <si>
    <t>Link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</si>
  <si>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</si>
  <si>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</si>
  <si>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</si>
  <si>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</si>
  <si>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</si>
  <si>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</si>
  <si>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 xml:space="preserve">Foam Board 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</si>
  <si>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</si>
  <si>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</si>
  <si>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</si>
  <si>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</si>
  <si>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</si>
  <si>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</si>
  <si>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</si>
  <si>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</si>
  <si>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</si>
  <si>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</si>
  <si>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https://www.homedepot.com/p/Owens-Corning-FOAMULAR-NGX-F-250-2-in-x-4-ft-x-8-ft-SSE-R-10-XPS-Rigid-Foam-Board-Insulation-52DDNGX/315197962</t>
  </si>
  <si>
    <t>Purchased</t>
  </si>
  <si>
    <t>Assembly</t>
  </si>
  <si>
    <t>Avionics</t>
  </si>
  <si>
    <t>Structures</t>
  </si>
  <si>
    <t>Mechanism</t>
  </si>
  <si>
    <t>Propulsion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</si>
  <si>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</si>
  <si>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</si>
  <si>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</si>
  <si>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</si>
  <si>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</si>
  <si>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</si>
  <si>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</si>
  <si>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</si>
  <si>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</si>
  <si>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</si>
  <si>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</si>
  <si>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</si>
  <si>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</si>
  <si>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</si>
  <si>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</si>
  <si>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</si>
  <si>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</si>
  <si>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</si>
  <si>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</si>
  <si>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</si>
  <si>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</si>
  <si>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</si>
  <si>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</si>
  <si>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</si>
  <si>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</si>
  <si>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</si>
  <si>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amazon.com/uxcell-1-2mm-450mm-Airplane-Replacement/dp/B08K7SFD44/ref=sr_1_5?dib=eyJ2IjoiMSJ9.Xv4Fl3SO-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</si>
  <si>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</si>
  <si>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</si>
  <si>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</si>
  <si>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</si>
  <si>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</si>
  <si>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</si>
  <si>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</si>
  <si>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</si>
  <si>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</si>
  <si>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</si>
  <si>
    <t>12 ft</t>
  </si>
  <si>
    <t>Dowels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</si>
  <si>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</si>
  <si>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</si>
  <si>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</si>
  <si>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</si>
  <si>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</si>
  <si>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</si>
  <si>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</si>
  <si>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</si>
  <si>
    <t>Bambu Skewers</t>
  </si>
  <si>
    <t>check If we can use this glue</t>
  </si>
  <si>
    <t>maybe use easy connectors instead</t>
  </si>
  <si>
    <t>Cobra 3520/12</t>
  </si>
  <si>
    <t>https://www.cobramotorsusa.com/motors-3520-12.html</t>
  </si>
  <si>
    <t>https://us.store.bambulab.com/products/petg-basic</t>
  </si>
  <si>
    <t>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</t>
  </si>
  <si>
    <t>3m double sided tape</t>
  </si>
  <si>
    <t>6 ft</t>
  </si>
  <si>
    <t>adhesive velcro singe sided</t>
  </si>
  <si>
    <t>5 ft</t>
  </si>
  <si>
    <t>https://www.mcmaster.com/94985K27/</t>
  </si>
  <si>
    <t>Duct tape</t>
  </si>
  <si>
    <t>10 ft</t>
  </si>
  <si>
    <t>https://www.homedepot.com/p/Duck-Pro-1-88-in-x-60-yds-Silver-All-Purpose-Duct-Tape-242760/309334754</t>
  </si>
  <si>
    <t>https://www.homedepot.com/p/GrillPro-100-Piece-12-in-Bamboo-Skewers-11070/322906473</t>
  </si>
  <si>
    <t xml:space="preserve">Birch plywood .205 In </t>
  </si>
  <si>
    <t>2ft x 4ft</t>
  </si>
  <si>
    <t>https://www.homedepot.com/p/SANDEPLY-5-2mm-Sandeply-Plywood-1-4-in-Category-Common-1-4-in-x-4-ft-x-8-ft-Actual-0-205-in-x-48-in-x-96-in-479023/203414042</t>
  </si>
  <si>
    <t>JB WELD</t>
  </si>
  <si>
    <t>1.6 ft</t>
  </si>
  <si>
    <t>1 package</t>
  </si>
  <si>
    <t>aluminum tail tube 1/4 in OD</t>
  </si>
  <si>
    <t>change to 2mm diameter</t>
  </si>
  <si>
    <t>11x8E Prop</t>
  </si>
  <si>
    <t>https://www.horizonhobby.com/product/apc-landing-products-electric-propeller-11-x-8e/APC11080E.html</t>
  </si>
  <si>
    <t>https://www.homedepot.com/p/J-B-Weld-Two-1-oz-Twin-Tube-Cold-Weld-Epoxy-8265-s/100189012</t>
  </si>
  <si>
    <t>cant find cheap version</t>
  </si>
  <si>
    <t>https://www.mcmaster.com/8978K205-8978K912/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</si>
</sst>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6546k49/" TargetMode="External"/><Relationship Id="rId18" Type="http://schemas.openxmlformats.org/officeDocument/2006/relationships/hyperlink" Target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TargetMode="External"/><Relationship Id="rId3" Type="http://schemas.openxmlformats.org/officeDocument/2006/relationships/hyperlink" Target="https://us.store.bambulab.com/products/pla-basic-filament?id=42844629008520" TargetMode="External"/><Relationship Id="rId21" Type="http://schemas.openxmlformats.org/officeDocument/2006/relationships/hyperlink" Target="https://www.homedepot.com/p/GrillPro-100-Piece-12-in-Bamboo-Skewers-11070/322906473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3475a230/" TargetMode="External"/><Relationship Id="rId17" Type="http://schemas.openxmlformats.org/officeDocument/2006/relationships/hyperlink" Target="https://www.mcmaster.com/94985K27/" TargetMode="External"/><Relationship Id="rId2" Type="http://schemas.openxmlformats.org/officeDocument/2006/relationships/hyperlink" Target="https://us.store.bambulab.com/products/petg-basic" TargetMode="External"/><Relationship Id="rId16" Type="http://schemas.openxmlformats.org/officeDocument/2006/relationships/hyperlink" Target="https://www.homedepot.com/p/Gorilla-8-oz-Wood-Glue-Natural-62000/100672167" TargetMode="External"/><Relationship Id="rId20" Type="http://schemas.openxmlformats.org/officeDocument/2006/relationships/hyperlink" Target="https://www.homedepot.com/p/Duck-Pro-1-88-in-x-60-yds-Silver-All-Purpose-Duct-Tape-242760/309334754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0453a112/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us.store.bambulab.com/products/abs-filament" TargetMode="External"/><Relationship Id="rId23" Type="http://schemas.openxmlformats.org/officeDocument/2006/relationships/hyperlink" Target="https://www.homedepot.com/p/J-B-Weld-Two-1-oz-Twin-Tube-Cold-Weld-Epoxy-8265-s/100189012" TargetMode="External"/><Relationship Id="rId10" Type="http://schemas.openxmlformats.org/officeDocument/2006/relationships/hyperlink" Target="https://www.mcmaster.com/products/91290a172/" TargetMode="External"/><Relationship Id="rId19" Type="http://schemas.openxmlformats.org/officeDocument/2006/relationships/hyperlink" Target="https://www.homedepot.com/p/Gorilla-25g-Super-Glue-XL-7400202/329800516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mcmaster.com/products/91290a647/" TargetMode="External"/><Relationship Id="rId14" Type="http://schemas.openxmlformats.org/officeDocument/2006/relationships/hyperlink" Target="https://www.mcmaster.com/products/8982k6/" TargetMode="External"/><Relationship Id="rId22" Type="http://schemas.openxmlformats.org/officeDocument/2006/relationships/hyperlink" Target="https://www.mcmaster.com/8978K205-8978K912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tandard-Control-17-5x26-Airplane-Replacement/dp/B019I0U8NG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mcmaster.com/12205T76/" TargetMode="External"/><Relationship Id="rId4" Type="http://schemas.openxmlformats.org/officeDocument/2006/relationships/hyperlink" Target="https://us.store.bambulab.com/products/pla-basic-filament?id=4284462900852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hobbyking.com/en_us/turnigy-battery-4000mah-4s-30c-lipo-pack-xt-60.html?srsltid=AU7gw4WVGopDsORjxCL-xylPi1hT8fcP1h7w3tHevpSY-TgKOw5vp4lY" TargetMode="External"/><Relationship Id="rId2" Type="http://schemas.openxmlformats.org/officeDocument/2006/relationships/hyperlink" Target="https://www.amazon.com/RC-Electric-Controller-Brushless-Motors/dp/B071GRSFBD?th=1" TargetMode="External"/><Relationship Id="rId1" Type="http://schemas.openxmlformats.org/officeDocument/2006/relationships/hyperlink" Target="https://www.cobramotorsusa.com/motors-3520-1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O42" sqref="O42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4</v>
      </c>
      <c r="B1" s="4">
        <f>SUM('Per Assembly Cost --&gt;'!B:B)</f>
        <v>355.97941778975735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F54" sqref="F5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25</v>
      </c>
      <c r="B1" s="1" t="s">
        <v>4</v>
      </c>
    </row>
    <row r="2" spans="1:2" x14ac:dyDescent="0.25">
      <c r="A2" t="s">
        <v>26</v>
      </c>
      <c r="B2" s="5">
        <f>SUM('Avionics BOM'!D:D)</f>
        <v>14.695417789757411</v>
      </c>
    </row>
    <row r="3" spans="1:2" x14ac:dyDescent="0.25">
      <c r="A3" t="s">
        <v>27</v>
      </c>
      <c r="B3" s="1">
        <f>SUM('Structures BOM'!D:D)</f>
        <v>146.73299999999998</v>
      </c>
    </row>
    <row r="4" spans="1:2" x14ac:dyDescent="0.25">
      <c r="A4" t="s">
        <v>28</v>
      </c>
      <c r="B4" s="1">
        <f>SUM('Mechanisms BOM'!D:D)</f>
        <v>53.330999999999996</v>
      </c>
    </row>
    <row r="5" spans="1:2" x14ac:dyDescent="0.25">
      <c r="A5" t="s">
        <v>29</v>
      </c>
      <c r="B5" s="1">
        <f>SUM('Propulsion BOM'!D:D)</f>
        <v>141.22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workbookViewId="0">
      <selection activeCell="D5" sqref="D5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6" x14ac:dyDescent="0.25">
      <c r="A2" t="s">
        <v>42</v>
      </c>
      <c r="B2" s="1" t="s">
        <v>24</v>
      </c>
      <c r="C2" s="1">
        <v>4</v>
      </c>
      <c r="D2" s="1">
        <v>7.16</v>
      </c>
      <c r="E2" s="1" t="s">
        <v>53</v>
      </c>
      <c r="F2" s="3" t="s">
        <v>43</v>
      </c>
    </row>
    <row r="3" spans="1:6" x14ac:dyDescent="0.25">
      <c r="A3" t="s">
        <v>44</v>
      </c>
      <c r="B3" s="1" t="s">
        <v>24</v>
      </c>
      <c r="C3" s="1">
        <v>1</v>
      </c>
      <c r="D3" s="1">
        <v>1.59</v>
      </c>
      <c r="E3" s="1" t="s">
        <v>53</v>
      </c>
      <c r="F3" s="3" t="s">
        <v>45</v>
      </c>
    </row>
    <row r="4" spans="1:6" x14ac:dyDescent="0.25">
      <c r="A4" t="s">
        <v>32</v>
      </c>
      <c r="B4" s="1" t="s">
        <v>24</v>
      </c>
      <c r="C4" s="1">
        <v>3</v>
      </c>
      <c r="D4" s="1">
        <f>3*0.99</f>
        <v>2.9699999999999998</v>
      </c>
      <c r="E4" s="1" t="s">
        <v>53</v>
      </c>
      <c r="F4" s="3" t="s">
        <v>47</v>
      </c>
    </row>
    <row r="5" spans="1:6" x14ac:dyDescent="0.25">
      <c r="A5" t="s">
        <v>33</v>
      </c>
      <c r="B5" s="1" t="s">
        <v>24</v>
      </c>
      <c r="C5" s="1">
        <v>20</v>
      </c>
      <c r="D5" s="5">
        <f>20/7.42</f>
        <v>2.6954177897574123</v>
      </c>
      <c r="E5" s="5" t="s">
        <v>53</v>
      </c>
      <c r="F5" s="3" t="s">
        <v>46</v>
      </c>
    </row>
    <row r="6" spans="1:6" x14ac:dyDescent="0.25">
      <c r="A6" t="s">
        <v>65</v>
      </c>
      <c r="B6" s="1" t="s">
        <v>35</v>
      </c>
      <c r="C6" s="1">
        <v>1</v>
      </c>
      <c r="D6" s="1">
        <v>0.28000000000000003</v>
      </c>
      <c r="E6" s="1" t="s">
        <v>35</v>
      </c>
      <c r="F6" s="3" t="s">
        <v>59</v>
      </c>
    </row>
  </sheetData>
  <conditionalFormatting sqref="E1:E104857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N25"/>
  <sheetViews>
    <sheetView workbookViewId="0">
      <selection activeCell="F25" sqref="F25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11.28515625" style="1" bestFit="1" customWidth="1"/>
    <col min="6" max="6" width="9.140625" style="2"/>
  </cols>
  <sheetData>
    <row r="1" spans="1:14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4" x14ac:dyDescent="0.25">
      <c r="A2" t="s">
        <v>93</v>
      </c>
      <c r="B2" s="1" t="s">
        <v>24</v>
      </c>
      <c r="C2" s="1" t="s">
        <v>94</v>
      </c>
      <c r="D2" s="1">
        <v>8.08</v>
      </c>
      <c r="E2" s="1" t="s">
        <v>53</v>
      </c>
      <c r="F2" s="3" t="s">
        <v>95</v>
      </c>
    </row>
    <row r="3" spans="1:14" x14ac:dyDescent="0.25">
      <c r="A3" t="s">
        <v>12</v>
      </c>
      <c r="B3" s="1" t="s">
        <v>24</v>
      </c>
      <c r="C3" s="1">
        <v>1</v>
      </c>
      <c r="D3" s="1">
        <f>55.6/2</f>
        <v>27.8</v>
      </c>
      <c r="E3" s="1" t="s">
        <v>53</v>
      </c>
      <c r="F3" s="3" t="s">
        <v>23</v>
      </c>
    </row>
    <row r="4" spans="1:14" x14ac:dyDescent="0.25">
      <c r="A4" t="s">
        <v>0</v>
      </c>
      <c r="B4" s="1" t="s">
        <v>24</v>
      </c>
      <c r="C4" s="1">
        <v>5</v>
      </c>
      <c r="D4" s="1">
        <v>2.97</v>
      </c>
      <c r="E4" s="1" t="s">
        <v>54</v>
      </c>
      <c r="F4" s="3" t="s">
        <v>21</v>
      </c>
    </row>
    <row r="5" spans="1:14" x14ac:dyDescent="0.25">
      <c r="A5" t="s">
        <v>39</v>
      </c>
      <c r="B5" s="1" t="s">
        <v>24</v>
      </c>
      <c r="C5" s="1">
        <v>25</v>
      </c>
      <c r="D5" s="1">
        <v>4.5999999999999996</v>
      </c>
      <c r="E5" s="1" t="s">
        <v>54</v>
      </c>
      <c r="F5" s="3" t="s">
        <v>38</v>
      </c>
    </row>
    <row r="6" spans="1:14" x14ac:dyDescent="0.25">
      <c r="A6" t="s">
        <v>1</v>
      </c>
      <c r="B6" s="1" t="s">
        <v>24</v>
      </c>
      <c r="C6" s="1">
        <v>25</v>
      </c>
      <c r="D6" s="1">
        <v>5.55</v>
      </c>
      <c r="E6" s="1" t="s">
        <v>54</v>
      </c>
      <c r="F6" s="3" t="s">
        <v>22</v>
      </c>
    </row>
    <row r="7" spans="1:14" x14ac:dyDescent="0.25">
      <c r="A7" t="s">
        <v>8</v>
      </c>
      <c r="B7" s="1" t="s">
        <v>24</v>
      </c>
      <c r="C7" s="1">
        <v>100</v>
      </c>
      <c r="D7" s="1">
        <v>3.93</v>
      </c>
      <c r="E7" s="1" t="s">
        <v>54</v>
      </c>
      <c r="F7" s="3" t="s">
        <v>19</v>
      </c>
    </row>
    <row r="8" spans="1:14" x14ac:dyDescent="0.25">
      <c r="A8" t="s">
        <v>9</v>
      </c>
      <c r="B8" s="1" t="s">
        <v>24</v>
      </c>
      <c r="C8" s="1">
        <v>25</v>
      </c>
      <c r="D8" s="1">
        <v>7.14</v>
      </c>
      <c r="E8" s="1" t="s">
        <v>54</v>
      </c>
      <c r="F8" s="3" t="s">
        <v>20</v>
      </c>
    </row>
    <row r="9" spans="1:14" x14ac:dyDescent="0.25">
      <c r="A9" t="s">
        <v>11</v>
      </c>
      <c r="B9" s="1" t="s">
        <v>24</v>
      </c>
      <c r="C9" s="1">
        <v>1</v>
      </c>
      <c r="D9" s="1">
        <v>24.6</v>
      </c>
      <c r="E9" s="1" t="s">
        <v>54</v>
      </c>
      <c r="F9" s="3" t="s">
        <v>17</v>
      </c>
    </row>
    <row r="10" spans="1:14" x14ac:dyDescent="0.25">
      <c r="A10" t="s">
        <v>37</v>
      </c>
      <c r="B10" s="1" t="s">
        <v>24</v>
      </c>
      <c r="C10" s="1">
        <v>1</v>
      </c>
      <c r="D10" s="1">
        <v>14.27</v>
      </c>
      <c r="E10" s="1" t="s">
        <v>54</v>
      </c>
      <c r="F10" s="3" t="s">
        <v>17</v>
      </c>
    </row>
    <row r="11" spans="1:14" x14ac:dyDescent="0.25">
      <c r="A11" t="s">
        <v>58</v>
      </c>
      <c r="B11" s="1" t="s">
        <v>24</v>
      </c>
      <c r="C11" s="1">
        <v>1</v>
      </c>
      <c r="D11" s="1">
        <v>3.94</v>
      </c>
      <c r="E11" s="1" t="s">
        <v>54</v>
      </c>
      <c r="F11" s="3" t="s">
        <v>18</v>
      </c>
    </row>
    <row r="12" spans="1:14" x14ac:dyDescent="0.25">
      <c r="A12" t="s">
        <v>69</v>
      </c>
      <c r="B12" s="1" t="s">
        <v>24</v>
      </c>
      <c r="C12" s="1" t="s">
        <v>72</v>
      </c>
      <c r="D12" s="5">
        <f>4.98/8*6</f>
        <v>3.7350000000000003</v>
      </c>
      <c r="E12" s="1" t="s">
        <v>53</v>
      </c>
      <c r="F12" s="7" t="s">
        <v>71</v>
      </c>
    </row>
    <row r="13" spans="1:14" x14ac:dyDescent="0.25">
      <c r="A13" t="s">
        <v>70</v>
      </c>
      <c r="B13" s="1" t="s">
        <v>24</v>
      </c>
      <c r="C13" s="1" t="s">
        <v>74</v>
      </c>
      <c r="D13" s="5">
        <f>9.98*0.6</f>
        <v>5.9880000000000004</v>
      </c>
      <c r="E13" s="1" t="s">
        <v>53</v>
      </c>
      <c r="F13" s="3" t="s">
        <v>73</v>
      </c>
      <c r="N13" s="8" t="s">
        <v>78</v>
      </c>
    </row>
    <row r="14" spans="1:14" x14ac:dyDescent="0.25">
      <c r="A14" t="s">
        <v>76</v>
      </c>
      <c r="B14" s="1" t="s">
        <v>24</v>
      </c>
      <c r="C14" s="1">
        <v>4</v>
      </c>
      <c r="D14" s="1">
        <f>2.46*4</f>
        <v>9.84</v>
      </c>
      <c r="E14" s="1" t="s">
        <v>54</v>
      </c>
      <c r="F14" s="3" t="s">
        <v>75</v>
      </c>
    </row>
    <row r="15" spans="1:14" x14ac:dyDescent="0.25">
      <c r="A15" t="s">
        <v>49</v>
      </c>
      <c r="B15" s="1" t="s">
        <v>24</v>
      </c>
      <c r="C15" s="1" t="s">
        <v>67</v>
      </c>
      <c r="D15" s="1">
        <v>4.07</v>
      </c>
      <c r="E15" s="1" t="s">
        <v>53</v>
      </c>
      <c r="F15" s="3" t="s">
        <v>50</v>
      </c>
    </row>
    <row r="16" spans="1:14" x14ac:dyDescent="0.25">
      <c r="A16" t="s">
        <v>63</v>
      </c>
      <c r="B16" s="1" t="s">
        <v>35</v>
      </c>
      <c r="C16" s="1">
        <v>1</v>
      </c>
      <c r="D16" s="1">
        <v>1.0900000000000001</v>
      </c>
      <c r="E16" s="1" t="s">
        <v>35</v>
      </c>
      <c r="F16" s="3" t="s">
        <v>64</v>
      </c>
    </row>
    <row r="17" spans="1:14" x14ac:dyDescent="0.25">
      <c r="A17" t="s">
        <v>62</v>
      </c>
      <c r="B17" s="1" t="s">
        <v>35</v>
      </c>
      <c r="C17" s="1">
        <v>1</v>
      </c>
      <c r="D17" s="1">
        <v>0.06</v>
      </c>
      <c r="E17" s="1" t="s">
        <v>35</v>
      </c>
      <c r="F17" s="3" t="s">
        <v>59</v>
      </c>
    </row>
    <row r="18" spans="1:14" x14ac:dyDescent="0.25">
      <c r="A18" t="s">
        <v>61</v>
      </c>
      <c r="B18" s="1" t="s">
        <v>35</v>
      </c>
      <c r="C18" s="1">
        <v>1</v>
      </c>
      <c r="D18" s="1">
        <v>0.67</v>
      </c>
      <c r="E18" s="1" t="s">
        <v>35</v>
      </c>
      <c r="F18" s="3" t="s">
        <v>82</v>
      </c>
      <c r="N18" s="8"/>
    </row>
    <row r="19" spans="1:14" x14ac:dyDescent="0.25">
      <c r="A19" t="s">
        <v>68</v>
      </c>
      <c r="B19" s="1" t="s">
        <v>35</v>
      </c>
      <c r="C19" s="1">
        <v>4</v>
      </c>
      <c r="D19" s="1">
        <v>0.05</v>
      </c>
      <c r="E19" s="1" t="s">
        <v>35</v>
      </c>
      <c r="F19" s="3" t="s">
        <v>64</v>
      </c>
    </row>
    <row r="20" spans="1:14" x14ac:dyDescent="0.25">
      <c r="A20" t="s">
        <v>84</v>
      </c>
      <c r="B20" s="1" t="s">
        <v>24</v>
      </c>
      <c r="C20" s="1" t="s">
        <v>85</v>
      </c>
      <c r="D20" s="1">
        <v>0.51</v>
      </c>
      <c r="E20" s="1" t="s">
        <v>53</v>
      </c>
      <c r="F20" s="3" t="s">
        <v>83</v>
      </c>
      <c r="N20" s="8"/>
    </row>
    <row r="21" spans="1:14" x14ac:dyDescent="0.25">
      <c r="A21" t="s">
        <v>86</v>
      </c>
      <c r="B21" s="1" t="s">
        <v>24</v>
      </c>
      <c r="C21" s="1" t="s">
        <v>87</v>
      </c>
      <c r="D21" s="1">
        <v>7.76</v>
      </c>
      <c r="E21" s="1" t="s">
        <v>54</v>
      </c>
      <c r="F21" s="3" t="s">
        <v>88</v>
      </c>
      <c r="N21" s="8"/>
    </row>
    <row r="22" spans="1:14" x14ac:dyDescent="0.25">
      <c r="A22" t="s">
        <v>89</v>
      </c>
      <c r="B22" s="1" t="s">
        <v>24</v>
      </c>
      <c r="C22" s="1" t="s">
        <v>90</v>
      </c>
      <c r="D22" s="1">
        <v>0.39</v>
      </c>
      <c r="E22" s="1" t="s">
        <v>53</v>
      </c>
      <c r="F22" s="3" t="s">
        <v>91</v>
      </c>
      <c r="N22" s="8"/>
    </row>
    <row r="23" spans="1:14" x14ac:dyDescent="0.25">
      <c r="A23" t="s">
        <v>77</v>
      </c>
      <c r="B23" s="1" t="s">
        <v>24</v>
      </c>
      <c r="C23" s="1">
        <v>100</v>
      </c>
      <c r="D23" s="1">
        <v>2.71</v>
      </c>
      <c r="E23" s="1" t="s">
        <v>54</v>
      </c>
      <c r="F23" s="3" t="s">
        <v>92</v>
      </c>
      <c r="N23" s="8"/>
    </row>
    <row r="24" spans="1:14" x14ac:dyDescent="0.25">
      <c r="A24" t="s">
        <v>96</v>
      </c>
      <c r="B24" s="1" t="s">
        <v>24</v>
      </c>
      <c r="C24" s="1" t="s">
        <v>98</v>
      </c>
      <c r="D24" s="1">
        <v>6.98</v>
      </c>
      <c r="E24" s="1" t="s">
        <v>53</v>
      </c>
      <c r="F24" s="3" t="s">
        <v>103</v>
      </c>
    </row>
    <row r="25" spans="1:14" x14ac:dyDescent="0.25">
      <c r="A25" t="s">
        <v>99</v>
      </c>
      <c r="B25" s="1" t="s">
        <v>24</v>
      </c>
      <c r="C25" s="1" t="s">
        <v>97</v>
      </c>
      <c r="E25" s="1" t="s">
        <v>53</v>
      </c>
      <c r="F25" s="3" t="s">
        <v>105</v>
      </c>
      <c r="I25" s="8" t="s">
        <v>104</v>
      </c>
    </row>
  </sheetData>
  <conditionalFormatting sqref="E1:E1048576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6" r:id="rId9" xr:uid="{DAE67438-2EA2-46E6-AE59-3CE1BA52DE6A}"/>
    <hyperlink ref="F4" r:id="rId10" xr:uid="{675196D7-5C58-487C-8B15-98E28F3CC124}"/>
    <hyperlink ref="F8" r:id="rId11" xr:uid="{77BD64C6-BF95-404A-B01F-81F95BAFFFCD}"/>
    <hyperlink ref="F7" r:id="rId12" xr:uid="{3C1E28BD-D3E4-46AC-A0D8-E327EE566BE4}"/>
    <hyperlink ref="F9" r:id="rId13" xr:uid="{751BAEB2-26DC-4CAF-8D96-A38FD9446E87}"/>
    <hyperlink ref="F11" r:id="rId14" xr:uid="{9B3802E2-0DAA-4495-8E7B-C8A9F6A2FFA8}"/>
    <hyperlink ref="F19" r:id="rId15" xr:uid="{8B7798E1-B9EF-4C27-8F45-57F8754CF6C6}"/>
    <hyperlink ref="F12" r:id="rId16" xr:uid="{DAC881B0-F10F-4F69-8986-0AAA523A24EF}"/>
    <hyperlink ref="F21" r:id="rId17" xr:uid="{B1936492-E69E-4FC0-9317-A51FD4D180C9}"/>
    <hyperlink ref="F20" r:id="rId18" display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xr:uid="{5269E7F4-3C12-41E9-B94C-7D7110BCCB5B}"/>
    <hyperlink ref="F13" r:id="rId19" xr:uid="{02A4D3AB-EDC0-4B65-841E-3298AA137928}"/>
    <hyperlink ref="F22" r:id="rId20" xr:uid="{14143E63-1487-40FC-AEB3-356D1822FE75}"/>
    <hyperlink ref="F23" r:id="rId21" xr:uid="{B7AFD8AB-FA10-4D01-851E-CFAF953BAB8E}"/>
    <hyperlink ref="F25" r:id="rId22" xr:uid="{220600F5-F3D8-4713-9FCF-D0034B1ED51A}"/>
    <hyperlink ref="F24" r:id="rId23" xr:uid="{25340820-4495-4BA4-8066-28EF3BFF3F70}"/>
  </hyperlinks>
  <pageMargins left="0.7" right="0.7" top="0.75" bottom="0.75" header="0.3" footer="0.3"/>
  <pageSetup orientation="portrait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M10"/>
  <sheetViews>
    <sheetView tabSelected="1" workbookViewId="0">
      <selection activeCell="H16" sqref="H16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11.28515625" style="1" bestFit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3" x14ac:dyDescent="0.25">
      <c r="A2" t="s">
        <v>34</v>
      </c>
      <c r="B2" s="1" t="s">
        <v>24</v>
      </c>
      <c r="C2" s="1">
        <v>4</v>
      </c>
      <c r="D2" s="1">
        <v>13.88</v>
      </c>
      <c r="E2" s="1" t="s">
        <v>53</v>
      </c>
      <c r="F2" s="2" t="s">
        <v>36</v>
      </c>
    </row>
    <row r="3" spans="1:13" x14ac:dyDescent="0.25">
      <c r="A3" t="s">
        <v>60</v>
      </c>
      <c r="B3" s="1" t="s">
        <v>35</v>
      </c>
      <c r="C3" s="1">
        <v>2</v>
      </c>
      <c r="D3" s="1">
        <v>0.11</v>
      </c>
      <c r="E3" s="1" t="s">
        <v>35</v>
      </c>
      <c r="F3" s="3" t="s">
        <v>59</v>
      </c>
    </row>
    <row r="4" spans="1:13" x14ac:dyDescent="0.25">
      <c r="A4" t="s">
        <v>13</v>
      </c>
      <c r="B4" s="1" t="s">
        <v>24</v>
      </c>
      <c r="C4" s="1">
        <v>4</v>
      </c>
      <c r="D4" s="1">
        <v>2.99</v>
      </c>
      <c r="E4" s="1" t="s">
        <v>53</v>
      </c>
      <c r="F4" s="3" t="s">
        <v>55</v>
      </c>
    </row>
    <row r="5" spans="1:13" x14ac:dyDescent="0.25">
      <c r="A5" t="s">
        <v>51</v>
      </c>
      <c r="B5" s="1" t="s">
        <v>24</v>
      </c>
      <c r="C5" s="1">
        <v>4</v>
      </c>
      <c r="D5" s="1">
        <v>6.2759999999999998</v>
      </c>
      <c r="E5" s="1" t="s">
        <v>53</v>
      </c>
      <c r="F5" s="2" t="s">
        <v>56</v>
      </c>
      <c r="M5" s="8" t="s">
        <v>100</v>
      </c>
    </row>
    <row r="6" spans="1:13" x14ac:dyDescent="0.25">
      <c r="A6" t="s">
        <v>14</v>
      </c>
      <c r="B6" s="1" t="s">
        <v>24</v>
      </c>
      <c r="C6" s="1">
        <v>1</v>
      </c>
      <c r="D6" s="6">
        <v>14.99</v>
      </c>
      <c r="E6" s="1" t="s">
        <v>53</v>
      </c>
      <c r="F6" s="3" t="s">
        <v>57</v>
      </c>
    </row>
    <row r="7" spans="1:13" x14ac:dyDescent="0.25">
      <c r="A7" t="s">
        <v>16</v>
      </c>
      <c r="B7" s="1" t="s">
        <v>24</v>
      </c>
      <c r="C7" s="1">
        <v>2</v>
      </c>
      <c r="D7" s="5">
        <f>11.99/2</f>
        <v>5.9950000000000001</v>
      </c>
      <c r="E7" s="1" t="s">
        <v>53</v>
      </c>
      <c r="F7" s="3" t="s">
        <v>40</v>
      </c>
    </row>
    <row r="8" spans="1:13" x14ac:dyDescent="0.25">
      <c r="A8" t="s">
        <v>15</v>
      </c>
      <c r="B8" s="1" t="s">
        <v>24</v>
      </c>
      <c r="C8" s="1">
        <v>1</v>
      </c>
      <c r="D8" s="1">
        <v>8.9700000000000006</v>
      </c>
      <c r="E8" s="1" t="s">
        <v>53</v>
      </c>
      <c r="F8" s="2" t="s">
        <v>41</v>
      </c>
    </row>
    <row r="9" spans="1:13" x14ac:dyDescent="0.25">
      <c r="A9" t="s">
        <v>48</v>
      </c>
      <c r="B9" s="1" t="s">
        <v>24</v>
      </c>
      <c r="C9" s="1">
        <v>20</v>
      </c>
      <c r="D9" s="1">
        <v>0.12</v>
      </c>
      <c r="E9" s="1" t="s">
        <v>53</v>
      </c>
      <c r="F9" s="7" t="s">
        <v>66</v>
      </c>
    </row>
    <row r="10" spans="1:13" x14ac:dyDescent="0.25">
      <c r="F10" s="9" t="s">
        <v>79</v>
      </c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4" r:id="rId3" xr:uid="{0E92F0AD-782A-4CF6-8DF2-62BFB580A776}"/>
    <hyperlink ref="F3" r:id="rId4" xr:uid="{7B1E3156-A427-4EE6-BDAE-640964CFC534}"/>
    <hyperlink ref="F9" r:id="rId5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M5"/>
  <sheetViews>
    <sheetView workbookViewId="0">
      <selection activeCell="G43" sqref="G43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5" width="12.140625" style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52</v>
      </c>
      <c r="F1" s="2" t="s">
        <v>5</v>
      </c>
    </row>
    <row r="2" spans="1:13" x14ac:dyDescent="0.25">
      <c r="A2" t="s">
        <v>101</v>
      </c>
      <c r="B2" s="1" t="s">
        <v>24</v>
      </c>
      <c r="C2" s="1">
        <v>1</v>
      </c>
      <c r="D2" s="1">
        <v>4.17</v>
      </c>
      <c r="E2" s="1" t="s">
        <v>54</v>
      </c>
      <c r="F2" s="3" t="s">
        <v>102</v>
      </c>
      <c r="M2" s="8"/>
    </row>
    <row r="3" spans="1:13" x14ac:dyDescent="0.25">
      <c r="A3" t="s">
        <v>80</v>
      </c>
      <c r="B3" s="1" t="s">
        <v>24</v>
      </c>
      <c r="C3" s="1">
        <v>1</v>
      </c>
      <c r="D3" s="1">
        <v>57.99</v>
      </c>
      <c r="E3" s="1" t="s">
        <v>53</v>
      </c>
      <c r="F3" s="3" t="s">
        <v>81</v>
      </c>
      <c r="M3" s="8"/>
    </row>
    <row r="4" spans="1:13" x14ac:dyDescent="0.25">
      <c r="A4" t="s">
        <v>6</v>
      </c>
      <c r="B4" s="1" t="s">
        <v>24</v>
      </c>
      <c r="C4" s="1">
        <v>1</v>
      </c>
      <c r="D4" s="1">
        <v>38.49</v>
      </c>
      <c r="E4" s="1" t="s">
        <v>53</v>
      </c>
      <c r="F4" s="3" t="s">
        <v>30</v>
      </c>
    </row>
    <row r="5" spans="1:13" x14ac:dyDescent="0.25">
      <c r="A5" t="s">
        <v>10</v>
      </c>
      <c r="B5" s="1" t="s">
        <v>24</v>
      </c>
      <c r="C5" s="1">
        <v>1</v>
      </c>
      <c r="D5" s="1">
        <v>40.57</v>
      </c>
      <c r="E5" s="1" t="s">
        <v>53</v>
      </c>
      <c r="F5" s="3" t="s">
        <v>31</v>
      </c>
    </row>
  </sheetData>
  <conditionalFormatting sqref="E1:E1048576">
    <cfRule type="cellIs" dxfId="0" priority="1" operator="equal">
      <formula>"Y"</formula>
    </cfRule>
  </conditionalFormatting>
  <hyperlinks>
    <hyperlink ref="F3" r:id="rId1" xr:uid="{33A92E14-CC68-4656-B82C-8BE565F4FCFD}"/>
    <hyperlink ref="F4" r:id="rId2" xr:uid="{50C17E5A-DE64-49D2-A6A1-C7139C62E0DA}"/>
    <hyperlink ref="F5" r:id="rId3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2026-10-22T21:53:06Z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