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9A15732B-2493-4347-80F7-F7BEBAB7EC46}" xr6:coauthVersionLast="47" xr6:coauthVersionMax="47" xr10:uidLastSave="{00000000-0000-0000-0000-000000000000}"/>
  <bookViews>
    <workbookView xWindow="-120" yWindow="-120" windowWidth="29040" windowHeight="15720" tabRatio="831" activeTab="5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3" l="1"/>
  <c r="B3" i="6"/>
  <c r="B4" i="6"/>
  <c r="B2" i="6"/>
  <c r="B5" i="6"/>
  <c r="B1" i="1" l="1"/>
</calcChain>
</file>

<file path=xl/sharedStrings.xml><?xml version="1.0" encoding="utf-8"?>
<sst xmlns="http://schemas.openxmlformats.org/spreadsheetml/2006/main" count="144" uniqueCount="80">
  <si>
    <t>GPS Tray</t>
  </si>
  <si>
    <t>Reciever Tray</t>
  </si>
  <si>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</si>
  <si>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</si>
  <si>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</si>
  <si>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</si>
  <si>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</si>
  <si>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</si>
  <si>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</si>
  <si>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</si>
  <si>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</si>
  <si>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</si>
  <si>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Airspeed Sensor Extension Wire</t>
  </si>
  <si>
    <t>M4 x 0.7mm washer</t>
  </si>
  <si>
    <t>M4 think locknut</t>
  </si>
  <si>
    <t>Turnigy 4Cell 4000 mAh Battery</t>
  </si>
  <si>
    <t>2ft x 1.125 x 1.125 in extruded L Aluminum</t>
  </si>
  <si>
    <t>1/16 x 1/2 x 1/2 aluminum tube - 6ft</t>
  </si>
  <si>
    <t>Plywood 4x8</t>
  </si>
  <si>
    <t xml:space="preserve">Foam Board </t>
  </si>
  <si>
    <t>Servo Mount</t>
  </si>
  <si>
    <t>Control Horns</t>
  </si>
  <si>
    <t>Aluminum Wire</t>
  </si>
  <si>
    <t>Super Glue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</si>
  <si>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</si>
  <si>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</si>
  <si>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</si>
  <si>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</si>
  <si>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</si>
  <si>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</si>
  <si>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</si>
  <si>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</si>
  <si>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</si>
  <si>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</si>
  <si>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</si>
  <si>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</si>
  <si>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</si>
  <si>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</si>
  <si>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</si>
  <si>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</si>
  <si>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</si>
  <si>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</si>
  <si>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</si>
  <si>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</si>
  <si>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</si>
  <si>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Wood Glue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</si>
  <si>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</si>
  <si>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</si>
  <si>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</si>
  <si>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</si>
  <si>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</si>
  <si>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Packing Tape</t>
  </si>
  <si>
    <t>https://www.homedepot.com/p/Scotch-1-88-in-x-54-6-yds-Heavy-Duty-Clear-Shipping-and-Packaging-Tape-3850-DC/304884808</t>
  </si>
  <si>
    <t>https://www.homedepot.com/p/Loctite-Super-Glue-0-14-oz-Ultra-Gel-Control-Clear-Applicator-1363589/202020461</t>
  </si>
  <si>
    <t>Airspeed Sensor Print</t>
  </si>
  <si>
    <t>Tail Mount Print</t>
  </si>
  <si>
    <t>Wing Dihedral Print</t>
  </si>
  <si>
    <t>https://www.homedepot.com/pep/E6000-2-oz-Clear-Adhesive-800432/333376257?g_store=2034&amp;source=shoppingads&amp;locale=en-US&amp;fp=ggl&amp;pla&amp;mtc=SHOPPING-BF-CDP-GGL-D24-024_004_ADHESIVES-NA-NA-NA-PMAX-NA-NA-NA-NA-NBR-NA-NA-NEW-NA_FY25&amp;cm_mmc=SHOPPING-BF-CDP-GGL-D24-024_004_ADHESIVES-NA-NA-NA-PMAX-NA-NA-NA-NA-NBR-NA-NA-NEW-NA_FY25-22204253200--&amp;gclsrc=aw.ds&amp;gad_source=1&amp;gad_campaignid=22204272157&amp;gbraid=0AAAAADq61UcsMashMLoaXkRspH99Y273H&amp;gclid=Cj0KCQjwuJLWBhD_ARIsAIBcRUwCF8rR0SLtACCiYZZMOikqfTXq54H3iKsptby3r_ci7TjzcJ3QqQUaAkesEALw_wcB</t>
  </si>
  <si>
    <t>1/16 x 1/2 x 1/2 aluminum tube - 3ft</t>
  </si>
  <si>
    <t>Aluminum Tube 6 in (Spacer</t>
  </si>
  <si>
    <t>https://www.mcmaster.com/products/8978k911/</t>
  </si>
  <si>
    <t>made from aluminum l bracket</t>
  </si>
  <si>
    <t>https://www.mcmaster.com/products/91274a122/</t>
  </si>
  <si>
    <t>M4 25mm bolt</t>
  </si>
  <si>
    <t>https://www.horizonhobby.com/product/wheel-set-3-carbon-z-t-28/EFL1310.html</t>
  </si>
  <si>
    <t>https://www.horizonhobby.com/product/landing-gear-pawnee-brave-20cc/HAN703509.html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</si>
  <si>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</si>
  <si>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Used Bambu Fillament Prices</t>
  </si>
  <si>
    <t>Motor Cover Print</t>
  </si>
  <si>
    <t>Doorhinge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</si>
  <si>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</si>
  <si>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</si>
  <si>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</si>
  <si>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ESC holddown</t>
  </si>
  <si>
    <t>https://www.readymaderc.com/products/details/60cm-24-inch-jr-style-22awg-twisted-servo-cable</t>
  </si>
  <si>
    <t>https://www.mcmaster.com/16175A561/</t>
  </si>
  <si>
    <t>https://www.mcmaster.com/2113N16/</t>
  </si>
  <si>
    <t>https://www.readymaderc.com/products/details/strix-battery-strap-20-300-mm-2pcs</t>
  </si>
  <si>
    <t>Rubber Bands</t>
  </si>
  <si>
    <t>Cube Holddown 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</si>
</sst>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1274a122/" TargetMode="External"/><Relationship Id="rId3" Type="http://schemas.openxmlformats.org/officeDocument/2006/relationships/hyperlink" Target="https://www.mcmaster.com/products/93475a230/" TargetMode="External"/><Relationship Id="rId7" Type="http://schemas.openxmlformats.org/officeDocument/2006/relationships/hyperlink" Target="https://www.homedepot.com/p/Plytanium-1-4-in-x-4-ft-x-8-ft-BC-Sanded-Pine-Plywood-235552/100063669" TargetMode="External"/><Relationship Id="rId12" Type="http://schemas.openxmlformats.org/officeDocument/2006/relationships/hyperlink" Target="https://www.mcmaster.com/products/6546k49/" TargetMode="External"/><Relationship Id="rId2" Type="http://schemas.openxmlformats.org/officeDocument/2006/relationships/hyperlink" Target="https://www.mcmaster.com/products/6546k49/" TargetMode="External"/><Relationship Id="rId1" Type="http://schemas.openxmlformats.org/officeDocument/2006/relationships/hyperlink" Target="https://www.mcmaster.com/products/8982k6/" TargetMode="External"/><Relationship Id="rId6" Type="http://schemas.openxmlformats.org/officeDocument/2006/relationships/hyperlink" Target="https://www.mcmaster.com/products/91290a647/" TargetMode="External"/><Relationship Id="rId11" Type="http://schemas.openxmlformats.org/officeDocument/2006/relationships/hyperlink" Target="https://www.mcmaster.com/products/8978k911/" TargetMode="External"/><Relationship Id="rId5" Type="http://schemas.openxmlformats.org/officeDocument/2006/relationships/hyperlink" Target="https://www.mcmaster.com/products/91290a172/" TargetMode="External"/><Relationship Id="rId10" Type="http://schemas.openxmlformats.org/officeDocument/2006/relationships/hyperlink" Target="https://www.homedepot.com/p/Loctite-Super-Glue-0-14-oz-Ultra-Gel-Control-Clear-Applicator-1363589/202020461" TargetMode="External"/><Relationship Id="rId4" Type="http://schemas.openxmlformats.org/officeDocument/2006/relationships/hyperlink" Target="https://www.mcmaster.com/products/90453a112/" TargetMode="External"/><Relationship Id="rId9" Type="http://schemas.openxmlformats.org/officeDocument/2006/relationships/hyperlink" Target="https://www.homedepot.com/p/Scotch-1-88-in-x-54-6-yds-Heavy-Duty-Clear-Shipping-and-Packaging-Tape-3850-DC/3048848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16175A561/" TargetMode="External"/><Relationship Id="rId2" Type="http://schemas.openxmlformats.org/officeDocument/2006/relationships/hyperlink" Target="https://www.horizonhobby.com/product/landing-gear-pawnee-brave-20cc/HAN703509.html" TargetMode="External"/><Relationship Id="rId1" Type="http://schemas.openxmlformats.org/officeDocument/2006/relationships/hyperlink" Target="https://www.horizonhobby.com/product/wheel-set-3-carbon-z-t-28/EFL1310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F14" sqref="F14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6</v>
      </c>
      <c r="B1" s="4">
        <f>SUM('Per Assembly Cost --&gt;'!B:B)</f>
        <v>405.05</v>
      </c>
    </row>
  </sheetData>
  <conditionalFormatting sqref="B1">
    <cfRule type="cellIs" dxfId="1" priority="1" operator="lessThan">
      <formula>400</formula>
    </cfRule>
    <cfRule type="cellIs" dxfId="0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4" sqref="B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37</v>
      </c>
      <c r="B1" s="1" t="s">
        <v>6</v>
      </c>
    </row>
    <row r="2" spans="1:2" x14ac:dyDescent="0.25">
      <c r="A2" t="s">
        <v>38</v>
      </c>
      <c r="B2" s="1">
        <f>SUM('Avionics BOM'!D:D)</f>
        <v>18.420000000000005</v>
      </c>
    </row>
    <row r="3" spans="1:2" x14ac:dyDescent="0.25">
      <c r="A3" t="s">
        <v>39</v>
      </c>
      <c r="B3" s="1">
        <f>SUM('Structures BOM'!D:D)</f>
        <v>183.05999999999997</v>
      </c>
    </row>
    <row r="4" spans="1:2" x14ac:dyDescent="0.25">
      <c r="A4" t="s">
        <v>40</v>
      </c>
      <c r="B4" s="1">
        <f>SUM('Mechanisms BOM'!D:D)</f>
        <v>62.879999999999995</v>
      </c>
    </row>
    <row r="5" spans="1:2" x14ac:dyDescent="0.25">
      <c r="A5" t="s">
        <v>41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E11"/>
  <sheetViews>
    <sheetView workbookViewId="0">
      <selection activeCell="B17" sqref="B17:B18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70</v>
      </c>
      <c r="B2" s="1" t="s">
        <v>36</v>
      </c>
      <c r="C2" s="1">
        <v>4</v>
      </c>
      <c r="D2" s="1">
        <v>7.16</v>
      </c>
      <c r="E2" s="3" t="s">
        <v>71</v>
      </c>
    </row>
    <row r="3" spans="1:5" x14ac:dyDescent="0.25">
      <c r="A3" t="s">
        <v>72</v>
      </c>
      <c r="B3" s="1" t="s">
        <v>36</v>
      </c>
      <c r="C3" s="1">
        <v>1</v>
      </c>
      <c r="D3" s="1">
        <v>1.59</v>
      </c>
      <c r="E3" s="3" t="s">
        <v>74</v>
      </c>
    </row>
    <row r="4" spans="1:5" x14ac:dyDescent="0.25">
      <c r="A4" t="s">
        <v>0</v>
      </c>
      <c r="B4" s="1" t="s">
        <v>49</v>
      </c>
      <c r="C4" s="1">
        <v>1</v>
      </c>
      <c r="D4" s="1">
        <v>0.14000000000000001</v>
      </c>
      <c r="E4" s="2" t="s">
        <v>67</v>
      </c>
    </row>
    <row r="5" spans="1:5" x14ac:dyDescent="0.25">
      <c r="A5" t="s">
        <v>1</v>
      </c>
      <c r="B5" s="1" t="s">
        <v>49</v>
      </c>
      <c r="C5" s="1">
        <v>1</v>
      </c>
      <c r="D5" s="1">
        <v>0.4</v>
      </c>
      <c r="E5" s="2" t="s">
        <v>67</v>
      </c>
    </row>
    <row r="6" spans="1:5" x14ac:dyDescent="0.25">
      <c r="A6" t="s">
        <v>12</v>
      </c>
      <c r="B6" s="1" t="s">
        <v>36</v>
      </c>
      <c r="C6" s="1">
        <v>1</v>
      </c>
      <c r="D6" s="5"/>
    </row>
    <row r="7" spans="1:5" x14ac:dyDescent="0.25">
      <c r="A7" t="s">
        <v>46</v>
      </c>
      <c r="B7" s="1" t="s">
        <v>36</v>
      </c>
      <c r="C7" s="1">
        <v>1</v>
      </c>
      <c r="D7" s="1">
        <v>0.99</v>
      </c>
      <c r="E7" s="3" t="s">
        <v>77</v>
      </c>
    </row>
    <row r="8" spans="1:5" x14ac:dyDescent="0.25">
      <c r="A8" t="s">
        <v>47</v>
      </c>
      <c r="B8" s="1" t="s">
        <v>36</v>
      </c>
      <c r="C8" s="1">
        <v>100</v>
      </c>
      <c r="D8" s="5">
        <v>7.42</v>
      </c>
      <c r="E8" s="3" t="s">
        <v>76</v>
      </c>
    </row>
    <row r="9" spans="1:5" x14ac:dyDescent="0.25">
      <c r="A9" t="s">
        <v>54</v>
      </c>
      <c r="B9" s="1" t="s">
        <v>49</v>
      </c>
      <c r="C9" s="1">
        <v>1</v>
      </c>
      <c r="D9" s="1">
        <v>0.52</v>
      </c>
      <c r="E9" s="2" t="s">
        <v>67</v>
      </c>
    </row>
    <row r="10" spans="1:5" x14ac:dyDescent="0.25">
      <c r="A10" t="s">
        <v>73</v>
      </c>
      <c r="B10" s="1" t="s">
        <v>49</v>
      </c>
      <c r="C10" s="1">
        <v>1</v>
      </c>
      <c r="D10" s="1">
        <v>0.1</v>
      </c>
      <c r="E10" s="2" t="s">
        <v>67</v>
      </c>
    </row>
    <row r="11" spans="1:5" x14ac:dyDescent="0.25">
      <c r="A11" t="s">
        <v>79</v>
      </c>
      <c r="B11" s="1" t="s">
        <v>49</v>
      </c>
      <c r="C11" s="1">
        <v>2</v>
      </c>
      <c r="D11" s="1">
        <v>0.1</v>
      </c>
      <c r="E11" s="2" t="s">
        <v>67</v>
      </c>
    </row>
  </sheetData>
  <hyperlinks>
    <hyperlink ref="E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E3" r:id="rId2" xr:uid="{AA186CBF-1F4D-4354-8F4C-254D5CF88C30}"/>
    <hyperlink ref="E8" r:id="rId3" xr:uid="{1CEF71FE-8065-4760-8150-4B4B1DA37CD5}"/>
    <hyperlink ref="E7" r:id="rId4" xr:uid="{4EAF33CA-E17C-43DA-8633-E519A1EDF8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E18"/>
  <sheetViews>
    <sheetView workbookViewId="0">
      <selection activeCell="D2" sqref="D2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18</v>
      </c>
      <c r="B2" s="1" t="s">
        <v>36</v>
      </c>
      <c r="C2" s="1">
        <v>1</v>
      </c>
      <c r="D2" s="5">
        <v>26.26</v>
      </c>
      <c r="E2" s="3" t="s">
        <v>33</v>
      </c>
    </row>
    <row r="3" spans="1:5" x14ac:dyDescent="0.25">
      <c r="A3" t="s">
        <v>19</v>
      </c>
      <c r="B3" s="1" t="s">
        <v>36</v>
      </c>
      <c r="C3" s="1">
        <v>1</v>
      </c>
      <c r="D3" s="5">
        <v>55.6</v>
      </c>
      <c r="E3" s="3" t="s">
        <v>34</v>
      </c>
    </row>
    <row r="4" spans="1:5" x14ac:dyDescent="0.25">
      <c r="A4" t="s">
        <v>2</v>
      </c>
      <c r="B4" s="1" t="s">
        <v>36</v>
      </c>
      <c r="C4" s="1">
        <v>5</v>
      </c>
      <c r="D4" s="1">
        <v>2.97</v>
      </c>
      <c r="E4" s="3" t="s">
        <v>31</v>
      </c>
    </row>
    <row r="5" spans="1:5" x14ac:dyDescent="0.25">
      <c r="A5" t="s">
        <v>63</v>
      </c>
      <c r="B5" s="1" t="s">
        <v>36</v>
      </c>
      <c r="C5" s="1">
        <v>25</v>
      </c>
      <c r="D5" s="1">
        <v>4.5999999999999996</v>
      </c>
      <c r="E5" s="3" t="s">
        <v>62</v>
      </c>
    </row>
    <row r="6" spans="1:5" x14ac:dyDescent="0.25">
      <c r="A6" t="s">
        <v>3</v>
      </c>
      <c r="B6" s="1" t="s">
        <v>36</v>
      </c>
      <c r="C6" s="1">
        <v>25</v>
      </c>
      <c r="D6" s="1">
        <v>5.55</v>
      </c>
      <c r="E6" s="3" t="s">
        <v>32</v>
      </c>
    </row>
    <row r="7" spans="1:5" x14ac:dyDescent="0.25">
      <c r="A7" t="s">
        <v>13</v>
      </c>
      <c r="B7" s="1" t="s">
        <v>36</v>
      </c>
      <c r="C7" s="1">
        <v>100</v>
      </c>
      <c r="D7" s="1">
        <v>3.93</v>
      </c>
      <c r="E7" s="3" t="s">
        <v>29</v>
      </c>
    </row>
    <row r="8" spans="1:5" x14ac:dyDescent="0.25">
      <c r="A8" t="s">
        <v>14</v>
      </c>
      <c r="B8" s="1" t="s">
        <v>36</v>
      </c>
      <c r="C8" s="1">
        <v>25</v>
      </c>
      <c r="D8" s="1">
        <v>7.14</v>
      </c>
      <c r="E8" s="3" t="s">
        <v>30</v>
      </c>
    </row>
    <row r="9" spans="1:5" x14ac:dyDescent="0.25">
      <c r="A9" t="s">
        <v>17</v>
      </c>
      <c r="B9" s="1" t="s">
        <v>36</v>
      </c>
      <c r="C9" s="1">
        <v>1</v>
      </c>
      <c r="D9" s="1">
        <v>24.6</v>
      </c>
      <c r="E9" s="3" t="s">
        <v>27</v>
      </c>
    </row>
    <row r="10" spans="1:5" x14ac:dyDescent="0.25">
      <c r="A10" t="s">
        <v>58</v>
      </c>
      <c r="B10" s="1" t="s">
        <v>36</v>
      </c>
      <c r="C10" s="1">
        <v>1</v>
      </c>
      <c r="D10" s="1">
        <v>14.27</v>
      </c>
      <c r="E10" s="3" t="s">
        <v>27</v>
      </c>
    </row>
    <row r="11" spans="1:5" x14ac:dyDescent="0.25">
      <c r="A11" t="s">
        <v>16</v>
      </c>
      <c r="B11" s="1" t="s">
        <v>36</v>
      </c>
      <c r="C11" s="1">
        <v>1</v>
      </c>
      <c r="D11" s="1">
        <v>6.89</v>
      </c>
      <c r="E11" s="3" t="s">
        <v>28</v>
      </c>
    </row>
    <row r="12" spans="1:5" x14ac:dyDescent="0.25">
      <c r="A12" t="s">
        <v>23</v>
      </c>
      <c r="B12" s="1" t="s">
        <v>36</v>
      </c>
      <c r="C12" s="1">
        <v>1</v>
      </c>
      <c r="D12" s="1">
        <v>5.98</v>
      </c>
      <c r="E12" s="3" t="s">
        <v>53</v>
      </c>
    </row>
    <row r="13" spans="1:5" x14ac:dyDescent="0.25">
      <c r="A13" t="s">
        <v>45</v>
      </c>
      <c r="B13" s="1" t="s">
        <v>36</v>
      </c>
      <c r="C13" s="1">
        <v>3</v>
      </c>
      <c r="D13" s="5">
        <f>4.48*3</f>
        <v>13.440000000000001</v>
      </c>
      <c r="E13" s="2" t="s">
        <v>57</v>
      </c>
    </row>
    <row r="14" spans="1:5" x14ac:dyDescent="0.25">
      <c r="A14" t="s">
        <v>59</v>
      </c>
      <c r="B14" s="1" t="s">
        <v>36</v>
      </c>
      <c r="C14" s="1">
        <v>1</v>
      </c>
      <c r="D14" s="1">
        <v>4.2300000000000004</v>
      </c>
      <c r="E14" s="3" t="s">
        <v>60</v>
      </c>
    </row>
    <row r="15" spans="1:5" x14ac:dyDescent="0.25">
      <c r="A15" t="s">
        <v>51</v>
      </c>
      <c r="B15" s="1" t="s">
        <v>36</v>
      </c>
      <c r="C15" s="1">
        <v>1</v>
      </c>
      <c r="D15" s="5">
        <v>5.98</v>
      </c>
      <c r="E15" s="3" t="s">
        <v>52</v>
      </c>
    </row>
    <row r="16" spans="1:5" x14ac:dyDescent="0.25">
      <c r="A16" t="s">
        <v>55</v>
      </c>
      <c r="B16" s="1" t="s">
        <v>49</v>
      </c>
      <c r="C16" s="1">
        <v>1</v>
      </c>
      <c r="D16" s="1">
        <v>0.6</v>
      </c>
      <c r="E16" s="2" t="s">
        <v>67</v>
      </c>
    </row>
    <row r="17" spans="1:5" x14ac:dyDescent="0.25">
      <c r="A17" t="s">
        <v>56</v>
      </c>
      <c r="B17" s="1" t="s">
        <v>49</v>
      </c>
      <c r="C17" s="1">
        <v>1</v>
      </c>
      <c r="D17" s="1">
        <v>0.06</v>
      </c>
      <c r="E17" s="2" t="s">
        <v>67</v>
      </c>
    </row>
    <row r="18" spans="1:5" x14ac:dyDescent="0.25">
      <c r="A18" t="s">
        <v>68</v>
      </c>
      <c r="B18" s="1" t="s">
        <v>49</v>
      </c>
      <c r="C18" s="1">
        <v>1</v>
      </c>
      <c r="D18" s="1">
        <v>0.96</v>
      </c>
      <c r="E18" s="2" t="s">
        <v>67</v>
      </c>
    </row>
  </sheetData>
  <hyperlinks>
    <hyperlink ref="E11" r:id="rId1" xr:uid="{9B3802E2-0DAA-4495-8E7B-C8A9F6A2FFA8}"/>
    <hyperlink ref="E9" r:id="rId2" xr:uid="{751BAEB2-26DC-4CAF-8D96-A38FD9446E87}"/>
    <hyperlink ref="E7" r:id="rId3" xr:uid="{3C1E28BD-D3E4-46AC-A0D8-E327EE566BE4}"/>
    <hyperlink ref="E8" r:id="rId4" xr:uid="{77BD64C6-BF95-404A-B01F-81F95BAFFFCD}"/>
    <hyperlink ref="E4" r:id="rId5" xr:uid="{675196D7-5C58-487C-8B15-98E28F3CC124}"/>
    <hyperlink ref="E6" r:id="rId6" xr:uid="{DAE67438-2EA2-46E6-AE59-3CE1BA52DE6A}"/>
    <hyperlink ref="E2" r:id="rId7" xr:uid="{20180B92-8ABC-43AC-BBB8-7C093E6B2F3E}"/>
    <hyperlink ref="E3" r:id="rId8" xr:uid="{EE40E960-AE93-490E-8684-32B42CB94C63}"/>
    <hyperlink ref="E15" r:id="rId9" xr:uid="{6293C65C-7FE4-4A84-B068-EDC9724F2BCC}"/>
    <hyperlink ref="E12" r:id="rId10" xr:uid="{4107E890-CEA7-4F2F-B7A9-E682D7C164AD}"/>
    <hyperlink ref="E14" r:id="rId11" xr:uid="{A91A1DE5-4331-40CB-B90C-715E0BCCB855}"/>
    <hyperlink ref="E10" r:id="rId12" xr:uid="{A329B7F4-245D-42E5-AACE-0CD364DDF33B}"/>
    <hyperlink ref="E5" r:id="rId13" xr:uid="{410C3B3D-E226-4918-926D-2343FE7E95F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E10"/>
  <sheetViews>
    <sheetView workbookViewId="0">
      <selection activeCell="H19" sqref="H19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48</v>
      </c>
      <c r="B2" s="1" t="s">
        <v>36</v>
      </c>
      <c r="C2" s="1">
        <v>4</v>
      </c>
      <c r="D2" s="1">
        <v>13.88</v>
      </c>
      <c r="E2" s="2" t="s">
        <v>50</v>
      </c>
    </row>
    <row r="3" spans="1:5" x14ac:dyDescent="0.25">
      <c r="A3" t="s">
        <v>20</v>
      </c>
      <c r="B3" s="1" t="s">
        <v>49</v>
      </c>
      <c r="C3" s="1">
        <v>4</v>
      </c>
      <c r="D3" s="1">
        <v>0.33</v>
      </c>
      <c r="E3" s="2" t="s">
        <v>67</v>
      </c>
    </row>
    <row r="4" spans="1:5" x14ac:dyDescent="0.25">
      <c r="A4" t="s">
        <v>21</v>
      </c>
      <c r="B4" s="1" t="s">
        <v>36</v>
      </c>
      <c r="C4" s="1">
        <v>4</v>
      </c>
      <c r="D4" s="1">
        <v>0</v>
      </c>
      <c r="E4" s="6" t="s">
        <v>61</v>
      </c>
    </row>
    <row r="5" spans="1:5" x14ac:dyDescent="0.25">
      <c r="A5" t="s">
        <v>22</v>
      </c>
      <c r="B5" s="1" t="s">
        <v>36</v>
      </c>
      <c r="C5" s="1">
        <v>1</v>
      </c>
      <c r="D5" s="5"/>
    </row>
    <row r="6" spans="1:5" x14ac:dyDescent="0.25">
      <c r="A6" t="s">
        <v>24</v>
      </c>
      <c r="B6" s="1" t="s">
        <v>36</v>
      </c>
      <c r="C6" s="1">
        <v>1</v>
      </c>
      <c r="D6" s="5">
        <v>16.989999999999998</v>
      </c>
      <c r="E6" s="3" t="s">
        <v>65</v>
      </c>
    </row>
    <row r="7" spans="1:5" x14ac:dyDescent="0.25">
      <c r="A7" t="s">
        <v>26</v>
      </c>
      <c r="B7" s="1" t="s">
        <v>36</v>
      </c>
      <c r="C7" s="1">
        <v>3</v>
      </c>
      <c r="D7" s="5">
        <v>16.989999999999998</v>
      </c>
      <c r="E7" s="3" t="s">
        <v>64</v>
      </c>
    </row>
    <row r="8" spans="1:5" x14ac:dyDescent="0.25">
      <c r="A8" t="s">
        <v>25</v>
      </c>
      <c r="B8" s="1" t="s">
        <v>36</v>
      </c>
      <c r="C8" s="1">
        <v>1</v>
      </c>
      <c r="D8" s="1">
        <v>8.9700000000000006</v>
      </c>
      <c r="E8" s="2" t="s">
        <v>66</v>
      </c>
    </row>
    <row r="9" spans="1:5" x14ac:dyDescent="0.25">
      <c r="A9" t="s">
        <v>69</v>
      </c>
      <c r="B9" s="1" t="s">
        <v>36</v>
      </c>
      <c r="C9" s="1">
        <v>3</v>
      </c>
      <c r="D9" s="1">
        <v>5.52</v>
      </c>
      <c r="E9" s="3" t="s">
        <v>75</v>
      </c>
    </row>
    <row r="10" spans="1:5" x14ac:dyDescent="0.25">
      <c r="A10" t="s">
        <v>78</v>
      </c>
      <c r="B10" s="1" t="s">
        <v>36</v>
      </c>
      <c r="C10" s="1">
        <v>8</v>
      </c>
      <c r="D10" s="1">
        <v>0.2</v>
      </c>
      <c r="E10" s="7"/>
    </row>
  </sheetData>
  <hyperlinks>
    <hyperlink ref="E7" r:id="rId1" xr:uid="{53C4CC5E-18BB-493C-B4BF-A5DBA279DD54}"/>
    <hyperlink ref="E6" r:id="rId2" xr:uid="{0004C175-5738-4B8F-BD83-32A5A30FB28E}"/>
    <hyperlink ref="E9" r:id="rId3" xr:uid="{8D7210AE-DB3A-46B9-AA95-7FD3E6229A8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E5"/>
  <sheetViews>
    <sheetView tabSelected="1" workbookViewId="0">
      <selection activeCell="J30" sqref="J30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4" width="12.140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8</v>
      </c>
      <c r="B2" s="1" t="s">
        <v>36</v>
      </c>
      <c r="C2" s="1">
        <v>1</v>
      </c>
      <c r="D2" s="1">
        <v>3.64</v>
      </c>
      <c r="E2" s="3" t="s">
        <v>35</v>
      </c>
    </row>
    <row r="3" spans="1:5" x14ac:dyDescent="0.25">
      <c r="A3" t="s">
        <v>9</v>
      </c>
      <c r="B3" s="1" t="s">
        <v>36</v>
      </c>
      <c r="C3" s="1">
        <v>1</v>
      </c>
      <c r="D3" s="1">
        <v>57.99</v>
      </c>
      <c r="E3" s="3" t="s">
        <v>42</v>
      </c>
    </row>
    <row r="4" spans="1:5" x14ac:dyDescent="0.25">
      <c r="A4" t="s">
        <v>10</v>
      </c>
      <c r="B4" s="1" t="s">
        <v>36</v>
      </c>
      <c r="C4" s="1">
        <v>1</v>
      </c>
      <c r="D4" s="1">
        <v>38.49</v>
      </c>
      <c r="E4" s="3" t="s">
        <v>43</v>
      </c>
    </row>
    <row r="5" spans="1:5" x14ac:dyDescent="0.25">
      <c r="A5" t="s">
        <v>15</v>
      </c>
      <c r="B5" s="1" t="s">
        <v>36</v>
      </c>
      <c r="C5" s="1">
        <v>1</v>
      </c>
      <c r="D5" s="1">
        <v>40.57</v>
      </c>
      <c r="E5" s="3" t="s">
        <v>44</v>
      </c>
    </row>
  </sheetData>
  <hyperlinks>
    <hyperlink ref="E2" r:id="rId1" xr:uid="{F52A4918-E897-4C4E-897E-D5215E045CA6}"/>
    <hyperlink ref="E3" r:id="rId2" xr:uid="{33A92E14-CC68-4656-B82C-8BE565F4FCFD}"/>
    <hyperlink ref="E4" r:id="rId3" xr:uid="{50C17E5A-DE64-49D2-A6A1-C7139C62E0DA}"/>
    <hyperlink ref="E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2026-10-06T21:51:48Z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